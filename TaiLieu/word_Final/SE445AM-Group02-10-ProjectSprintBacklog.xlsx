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dc92fab8e16a6c0e/Tài liệu/"/>
    </mc:Choice>
  </mc:AlternateContent>
  <xr:revisionPtr revIDLastSave="13" documentId="8_{2808F8E2-4B54-4B08-8273-BB5AE1991F06}" xr6:coauthVersionLast="47" xr6:coauthVersionMax="47" xr10:uidLastSave="{2D7048C8-14A5-497F-BB6E-4FFADCA9DA7D}"/>
  <bookViews>
    <workbookView xWindow="-108" yWindow="-108" windowWidth="23256" windowHeight="12456" activeTab="1" xr2:uid="{00000000-000D-0000-FFFF-FFFF00000000}"/>
  </bookViews>
  <sheets>
    <sheet name="Sprint 1" sheetId="1" r:id="rId1"/>
    <sheet name="Sprint 2" sheetId="2" r:id="rId2"/>
    <sheet name="Tot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2CMQ7AenL5VBGJ/Xxur1MbkzFu6uYG0vyQnl9O6no4="/>
    </ext>
  </extLst>
</workbook>
</file>

<file path=xl/calcChain.xml><?xml version="1.0" encoding="utf-8"?>
<calcChain xmlns="http://schemas.openxmlformats.org/spreadsheetml/2006/main">
  <c r="F10" i="3" l="1"/>
  <c r="B5" i="3"/>
  <c r="B6" i="3" s="1"/>
  <c r="G5" i="3"/>
  <c r="C6" i="3"/>
  <c r="H5" i="3"/>
  <c r="H4" i="3"/>
  <c r="Y69" i="2" l="1"/>
  <c r="W69" i="2"/>
  <c r="T69" i="2"/>
  <c r="Q69" i="2"/>
  <c r="K69" i="2"/>
  <c r="J69" i="2"/>
  <c r="I69" i="2"/>
  <c r="AB91" i="1"/>
  <c r="Z91" i="1"/>
  <c r="Y91" i="1"/>
  <c r="W91" i="1"/>
  <c r="P91" i="1"/>
  <c r="M91" i="1"/>
  <c r="AC90" i="1"/>
  <c r="AB90" i="1"/>
  <c r="AA90" i="1"/>
  <c r="Z90" i="1"/>
  <c r="Y90" i="1"/>
  <c r="W90" i="1"/>
  <c r="P90" i="1"/>
  <c r="O90" i="1"/>
  <c r="M90" i="1"/>
  <c r="J68" i="2" l="1"/>
  <c r="I68" i="2"/>
  <c r="K68" i="2"/>
  <c r="G68" i="2"/>
  <c r="E12" i="2" a="1"/>
  <c r="E12" i="2" s="1"/>
  <c r="K5" i="3" s="1"/>
  <c r="E10" i="2" a="1"/>
  <c r="E10" i="2" s="1"/>
  <c r="E9" i="2" a="1"/>
  <c r="E9" i="2" s="1"/>
  <c r="E5" i="3" s="1"/>
  <c r="D9" i="2" a="1"/>
  <c r="D9" i="2" s="1"/>
  <c r="D5" i="3" s="1"/>
  <c r="E8" i="2" a="1"/>
  <c r="E8" i="2" s="1"/>
  <c r="C5" i="3" s="1"/>
  <c r="E11" i="2" a="1"/>
  <c r="E11" i="2" s="1"/>
  <c r="I5" i="3" s="1"/>
  <c r="D12" i="2" a="1"/>
  <c r="D12" i="2" s="1"/>
  <c r="J5" i="3" s="1"/>
  <c r="D10" i="2" a="1"/>
  <c r="D10" i="2" s="1"/>
  <c r="F5" i="3" s="1"/>
  <c r="D8" i="2" a="1"/>
  <c r="D8" i="2" s="1"/>
  <c r="D11" i="2" a="1"/>
  <c r="D11" i="2" s="1"/>
  <c r="G69" i="2"/>
  <c r="X90" i="1"/>
  <c r="AB69" i="2"/>
  <c r="AA69" i="2"/>
  <c r="Z69" i="2"/>
  <c r="X69" i="2"/>
  <c r="V69" i="2"/>
  <c r="U69" i="2"/>
  <c r="S69" i="2"/>
  <c r="R69" i="2"/>
  <c r="P69" i="2"/>
  <c r="O69" i="2"/>
  <c r="N69" i="2"/>
  <c r="M69" i="2"/>
  <c r="L69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AC91" i="1"/>
  <c r="AA91" i="1"/>
  <c r="X91" i="1"/>
  <c r="V91" i="1"/>
  <c r="U91" i="1"/>
  <c r="T91" i="1"/>
  <c r="S91" i="1"/>
  <c r="R91" i="1"/>
  <c r="Q91" i="1"/>
  <c r="O91" i="1"/>
  <c r="N91" i="1"/>
  <c r="L91" i="1"/>
  <c r="K91" i="1"/>
  <c r="J91" i="1"/>
  <c r="I91" i="1"/>
  <c r="G91" i="1"/>
  <c r="V90" i="1"/>
  <c r="U90" i="1"/>
  <c r="T90" i="1"/>
  <c r="S90" i="1"/>
  <c r="R90" i="1"/>
  <c r="Q90" i="1"/>
  <c r="N90" i="1"/>
  <c r="L90" i="1"/>
  <c r="K90" i="1"/>
  <c r="J90" i="1"/>
  <c r="I90" i="1"/>
  <c r="G90" i="1"/>
  <c r="E12" i="1"/>
  <c r="K4" i="3" s="1"/>
  <c r="D12" i="1"/>
  <c r="J4" i="3" s="1"/>
  <c r="E11" i="1"/>
  <c r="I4" i="3" s="1"/>
  <c r="D11" i="1"/>
  <c r="E10" i="1"/>
  <c r="G4" i="3" s="1"/>
  <c r="D10" i="1"/>
  <c r="F4" i="3" s="1"/>
  <c r="E9" i="1"/>
  <c r="E4" i="3" s="1"/>
  <c r="D9" i="1"/>
  <c r="D4" i="3" s="1"/>
  <c r="E8" i="1"/>
  <c r="E13" i="1" s="1"/>
  <c r="D8" i="1"/>
  <c r="D13" i="1" s="1"/>
  <c r="D13" i="2" l="1"/>
  <c r="F6" i="3"/>
  <c r="J6" i="3"/>
  <c r="H6" i="3"/>
  <c r="I6" i="3"/>
  <c r="K6" i="3"/>
  <c r="D6" i="3"/>
  <c r="E6" i="3"/>
  <c r="G6" i="3"/>
  <c r="B4" i="3"/>
  <c r="C4" i="3"/>
  <c r="E13" i="2"/>
  <c r="F1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<sst xmlns="http://schemas.openxmlformats.org/spreadsheetml/2006/main" count="292" uniqueCount="150">
  <si>
    <t>Project name:</t>
  </si>
  <si>
    <t>Kết thúc</t>
  </si>
  <si>
    <t>Module name:</t>
  </si>
  <si>
    <t>Sprint 1</t>
  </si>
  <si>
    <t>Tăng ca</t>
  </si>
  <si>
    <t>Start date:</t>
  </si>
  <si>
    <t>Muộn</t>
  </si>
  <si>
    <t>End date:</t>
  </si>
  <si>
    <t>Chậm tiến độ</t>
  </si>
  <si>
    <t>Trước thời hạn</t>
  </si>
  <si>
    <t>SPRINT 1 REPORT</t>
  </si>
  <si>
    <t>No</t>
  </si>
  <si>
    <t>Thành viên</t>
  </si>
  <si>
    <t>Thực tế</t>
  </si>
  <si>
    <t>Ước tính</t>
  </si>
  <si>
    <t>Huỳnh Ngọc Phú</t>
  </si>
  <si>
    <t>Nguyễn Minh Tú</t>
  </si>
  <si>
    <t>Nguyễn Tú Uyên</t>
  </si>
  <si>
    <t>Lâm Chu Bảo Toàn</t>
  </si>
  <si>
    <t>Vương Quốc Hưng</t>
  </si>
  <si>
    <t>Tổng</t>
  </si>
  <si>
    <t>Sprint</t>
  </si>
  <si>
    <t>Compoment</t>
  </si>
  <si>
    <t>Task name</t>
  </si>
  <si>
    <t>Responsible Member</t>
  </si>
  <si>
    <t>Họp kế hoạch Sprint 1</t>
  </si>
  <si>
    <t>All Team</t>
  </si>
  <si>
    <t xml:space="preserve">Tạo Sprint Backlog </t>
  </si>
  <si>
    <t>Phú</t>
  </si>
  <si>
    <t>Tạo tài liệu cơ sở dữ liệu cho Sprint 1</t>
  </si>
  <si>
    <t>Uyên</t>
  </si>
  <si>
    <t>Tạo tài liệu kiểm thử cho Sprint 1</t>
  </si>
  <si>
    <t>Toàn, Hưng, Tú</t>
  </si>
  <si>
    <t>User interface design</t>
  </si>
  <si>
    <t>Thiết kế giao diện Đăng nhập/Đăng xuất</t>
  </si>
  <si>
    <t>Thiết kế giao diện Tạo phiếu đặt bàn mới</t>
  </si>
  <si>
    <t>Thiết kế giao diện Xem Thực đơn</t>
  </si>
  <si>
    <t>Tú</t>
  </si>
  <si>
    <t>Thiết kế giao diện Quản lý tài khoản</t>
  </si>
  <si>
    <t>Toàn</t>
  </si>
  <si>
    <t>Thiết kế giao diện Tương tác chatbot</t>
  </si>
  <si>
    <t>Thiết kế giao diện Quản lý sơ đồ bàn</t>
  </si>
  <si>
    <t>Hưng</t>
  </si>
  <si>
    <t>Thiết kế giao diện Viết đánh giá</t>
  </si>
  <si>
    <t>Thiết kế giao diện Thanh toán</t>
  </si>
  <si>
    <t>Thiết kế giao diện Quên mật khẩu</t>
  </si>
  <si>
    <t>Thiết kế giao diện Quản lý ca làm</t>
  </si>
  <si>
    <t>Giao diện Xem thư viện sách</t>
  </si>
  <si>
    <t>Design test case</t>
  </si>
  <si>
    <t>Design TC Xem Thực đơn</t>
  </si>
  <si>
    <t>Design TC Quên mật khẩu</t>
  </si>
  <si>
    <t>Design TC Đăng nhập/Đăng xuất</t>
  </si>
  <si>
    <t>Design TC Tạo phiếu đặt bàn mới</t>
  </si>
  <si>
    <t>Design TC Tương tác chatbot</t>
  </si>
  <si>
    <t>Design TC Quản lý tài khoản</t>
  </si>
  <si>
    <t>Design TC Quản lý sơ đồ bàn</t>
  </si>
  <si>
    <t>Design TC Viết đánh giá</t>
  </si>
  <si>
    <t>Design TC Quản lý ca làm</t>
  </si>
  <si>
    <t>Design TC Thanh toán</t>
  </si>
  <si>
    <t>Design TC Xem thư viện sách</t>
  </si>
  <si>
    <t>Coding</t>
  </si>
  <si>
    <t>Code Xem Thực đơn</t>
  </si>
  <si>
    <t>Code Quên mật khẩu</t>
  </si>
  <si>
    <t>Code Đăng nhập/Đăng xuất</t>
  </si>
  <si>
    <t>Code Tạo phiếu đặt bàn mới</t>
  </si>
  <si>
    <t>Code Tương tác Chatbot</t>
  </si>
  <si>
    <t>Code Quản lý tài khoản</t>
  </si>
  <si>
    <t>Code Quản lý ca làm</t>
  </si>
  <si>
    <t>Code Viết đánh giá</t>
  </si>
  <si>
    <t>Code Quản lý sơ đồ bàn</t>
  </si>
  <si>
    <t>Code Xem thư viện sách</t>
  </si>
  <si>
    <t>Code Thanh toán</t>
  </si>
  <si>
    <t>Tích hợp &amp; Kiểm thử nội bộ</t>
  </si>
  <si>
    <t>Testing</t>
  </si>
  <si>
    <t>Test Xem Thực đơn &amp; Quên mật khẩu</t>
  </si>
  <si>
    <t>Test Đăng nhập/Đăng xuất &amp; Viết đánh giá</t>
  </si>
  <si>
    <t>Test Tạo phiếu đặt bàn &amp; Quản lý sơ đồ bàn</t>
  </si>
  <si>
    <t>Test Tương tác Chatbot &amp; Xem thư viện sách</t>
  </si>
  <si>
    <t>Test Quản lý tài khoản &amp; Thanh toán</t>
  </si>
  <si>
    <t>Ghi nhận lỗi &amp; chỉnh sửa sơ bộ (Bug Fix Round 1)</t>
  </si>
  <si>
    <t>Fix Bug</t>
  </si>
  <si>
    <t>Fix Bug “Xem Thực đơn” &amp; “Quên mật khẩu”</t>
  </si>
  <si>
    <t>Fix Bug “Đăng nhập”, “Đăng xuất” &amp; “Viết đánh giá”</t>
  </si>
  <si>
    <t>Fix Bug “Tạo phiếu đặt bàn mới” &amp; “Quản lý sơ đồ bàn”</t>
  </si>
  <si>
    <t>Fix Bug “Tương tác Chatbot” &amp; “Xem thư viện sách”</t>
  </si>
  <si>
    <t>Fix Bug “Quản lý tài khoản” &amp; “Thanh toán”</t>
  </si>
  <si>
    <t>Rà soát log hệ thống để phát hiện lỗi tiềm ẩn</t>
  </si>
  <si>
    <t>Báo cáo tổng hợp lỗi đã xử lý &amp; xác nhận hoàn tất</t>
  </si>
  <si>
    <t>Re-testing</t>
  </si>
  <si>
    <t>Re-test “Xem Thực đơn” &amp; “Quên mật khẩu”</t>
  </si>
  <si>
    <t>Re-test “Đăng nhập”, “Đăng xuất” &amp; “Viết đánh giá”</t>
  </si>
  <si>
    <t>Re-test “Tạo phiếu đặt bàn mới” &amp; “Quản lý sơ đồ bàn”</t>
  </si>
  <si>
    <t>Re-test “Tương tác Chatbot” &amp; “Xem thư viện sách”</t>
  </si>
  <si>
    <t>Re-test “Quản lý tài khoản” &amp; “Thanh toán”</t>
  </si>
  <si>
    <t>Thực hiện kiểm thử chéo giữa các thành viên (Cross-testing)</t>
  </si>
  <si>
    <t>Tổng hợp kết quả Re-test &amp; xác nhận hệ thống ổn định</t>
  </si>
  <si>
    <t>Release Sprint 1</t>
  </si>
  <si>
    <t>Sprint 1 review meeting</t>
  </si>
  <si>
    <t>All team</t>
  </si>
  <si>
    <t>Sprint 1 retrospective</t>
  </si>
  <si>
    <t>Phát triển hệ thống CafeBook tối ưu hoá trải nghiệm bằng AI</t>
  </si>
  <si>
    <t>Sprint 2</t>
  </si>
  <si>
    <t>SPRINT 2 REPORT</t>
  </si>
  <si>
    <t>Họp kế hoạch Sprint</t>
  </si>
  <si>
    <t xml:space="preserve">Tạo tài liệu Sprint Backlog </t>
  </si>
  <si>
    <t>Tạo tài liệu kế hoạch kiểm thử cho Sprint 2</t>
  </si>
  <si>
    <t xml:space="preserve">Phú </t>
  </si>
  <si>
    <t>Tạo tài liệu cơ sở dữ liệu cho Sprint 2</t>
  </si>
  <si>
    <t>Thiết kế giao diện “ Quản lý Đánh giá ”</t>
  </si>
  <si>
    <t>Thiết kế giao diện “ Quản lý đơn hàng ”</t>
  </si>
  <si>
    <t>Thiết kế giao diện “ Quản lý menu ”</t>
  </si>
  <si>
    <t>Thiết kế giao diện “ Quản lý đánh giá ”</t>
  </si>
  <si>
    <t>Thiết kế giao diện “ Báo cáo thống kê ”</t>
  </si>
  <si>
    <t>Design TC “ Quản lý KH&amp;KM ”</t>
  </si>
  <si>
    <t>Design TC “ Quản lý đơn hàng ”</t>
  </si>
  <si>
    <t>Design TC “ Quản lý menu ”</t>
  </si>
  <si>
    <t>Phú, Toàn</t>
  </si>
  <si>
    <t>Design TC “ Quản lý đánh giá ”</t>
  </si>
  <si>
    <t>Design TC “ Báo cáo thống kê ”</t>
  </si>
  <si>
    <t>Code chức năng “ Quản lý quán cafe ”</t>
  </si>
  <si>
    <t>Phú, Hưng</t>
  </si>
  <si>
    <t>Code chức năng “ Quản lý đơn hàng”</t>
  </si>
  <si>
    <t>Tú , Toàn</t>
  </si>
  <si>
    <t>Code chức năng “ Quản lý menu ”</t>
  </si>
  <si>
    <t>Code chức năng “ Quản lý đánh giá ”</t>
  </si>
  <si>
    <t>Phú, Uyên</t>
  </si>
  <si>
    <t>Code chức năng “ Báo cáo thống kê ”</t>
  </si>
  <si>
    <t>Tú, Toàn</t>
  </si>
  <si>
    <t>Test chức năng “ Quản lý KH&amp;KM ”</t>
  </si>
  <si>
    <t>Test chức năng “ Quản lý đơn hàng ”</t>
  </si>
  <si>
    <t>Hưng,Toàn</t>
  </si>
  <si>
    <t>Test chức năng “ Quản lý menu ”</t>
  </si>
  <si>
    <t>Test chức năng “Quản lý đánh giá ”</t>
  </si>
  <si>
    <t>Test chức năng “ Báo cáo thống kê ”</t>
  </si>
  <si>
    <t>Fix Bug “ Quản lý KH&amp;KM ”</t>
  </si>
  <si>
    <t>Fix Bug "Quản lý đơn hàng"</t>
  </si>
  <si>
    <t>Fix Bug "Quản lý menu"</t>
  </si>
  <si>
    <t>Fix Bug "Quản lý đánh giá"</t>
  </si>
  <si>
    <t>Fix Bug "Báo cáo thống kê"</t>
  </si>
  <si>
    <t>Re-test chức năng “ Quản lý KH&amp;KM ”</t>
  </si>
  <si>
    <t>Re-test chức năng “ Quản lý đơn hàng ”</t>
  </si>
  <si>
    <t>Phú,Toàn</t>
  </si>
  <si>
    <t>Re-test chức năng “ Quản lý menu ”</t>
  </si>
  <si>
    <t>Re-test chức năng “ Quản lý đánh giá ”</t>
  </si>
  <si>
    <t>Re-test chức năng “ Báo cáo thống kê ”</t>
  </si>
  <si>
    <t>Release Sprint 2</t>
  </si>
  <si>
    <t>Xem lại Sprint 2</t>
  </si>
  <si>
    <t>Sprint 2 Retrospective</t>
  </si>
  <si>
    <t>SPRINT BACKLOG REPORT</t>
  </si>
  <si>
    <t>FINAL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</si>
</sst>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7">
    <font>
      <sz val="11"/>
      <color theme="1"/>
      <name val="Calibri"/>
      <scheme val="minor"/>
    </font>
    <font>
      <b/>
      <sz val="13"/>
      <color theme="1"/>
      <name val="Times New Roman"/>
    </font>
    <font>
      <sz val="11"/>
      <name val="Calibri"/>
    </font>
    <font>
      <sz val="13"/>
      <color theme="1"/>
      <name val="Times New Roman"/>
    </font>
    <font>
      <sz val="13"/>
      <color rgb="FF000000"/>
      <name val="Times New Roman"/>
    </font>
    <font>
      <sz val="11"/>
      <color theme="1"/>
      <name val="Arial"/>
    </font>
    <font>
      <sz val="13"/>
      <color theme="1"/>
      <name val="&quot;Times New Roman&quot;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00CC"/>
        <bgColor rgb="FFCC00CC"/>
      </patternFill>
    </fill>
    <fill>
      <patternFill patternType="solid">
        <fgColor rgb="FFFF0000"/>
        <bgColor rgb="FFFF0000"/>
      </patternFill>
    </fill>
    <fill>
      <patternFill patternType="solid">
        <fgColor rgb="FFFF66CC"/>
        <bgColor rgb="FFFF66CC"/>
      </patternFill>
    </fill>
    <fill>
      <patternFill patternType="solid">
        <fgColor rgb="FF30F035"/>
        <bgColor rgb="FF30F035"/>
      </patternFill>
    </fill>
    <fill>
      <patternFill patternType="solid">
        <fgColor rgb="FFDEEAF6"/>
        <bgColor rgb="FFDEEAF6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0" borderId="0" xfId="0" applyFont="1"/>
    <xf numFmtId="0" fontId="3" fillId="2" borderId="4" xfId="0" applyFont="1" applyFill="1" applyBorder="1"/>
    <xf numFmtId="0" fontId="3" fillId="0" borderId="5" xfId="0" applyFont="1" applyBorder="1" applyAlignment="1">
      <alignment horizontal="left" vertical="center"/>
    </xf>
    <xf numFmtId="0" fontId="3" fillId="0" borderId="3" xfId="0" applyFont="1" applyBorder="1"/>
    <xf numFmtId="0" fontId="3" fillId="3" borderId="6" xfId="0" applyFont="1" applyFill="1" applyBorder="1"/>
    <xf numFmtId="0" fontId="3" fillId="0" borderId="7" xfId="0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/>
    </xf>
    <xf numFmtId="0" fontId="3" fillId="4" borderId="6" xfId="0" applyFont="1" applyFill="1" applyBorder="1"/>
    <xf numFmtId="0" fontId="3" fillId="5" borderId="6" xfId="0" applyFont="1" applyFill="1" applyBorder="1"/>
    <xf numFmtId="0" fontId="3" fillId="6" borderId="8" xfId="0" applyFont="1" applyFill="1" applyBorder="1"/>
    <xf numFmtId="0" fontId="3" fillId="0" borderId="9" xfId="0" applyFont="1" applyBorder="1" applyAlignment="1">
      <alignment vertical="center" wrapText="1"/>
    </xf>
    <xf numFmtId="0" fontId="1" fillId="8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9" borderId="3" xfId="0" applyFont="1" applyFill="1" applyBorder="1"/>
    <xf numFmtId="0" fontId="1" fillId="10" borderId="3" xfId="0" applyFont="1" applyFill="1" applyBorder="1"/>
    <xf numFmtId="0" fontId="1" fillId="11" borderId="11" xfId="0" applyFont="1" applyFill="1" applyBorder="1"/>
    <xf numFmtId="0" fontId="1" fillId="0" borderId="11" xfId="0" applyFont="1" applyBorder="1" applyAlignment="1">
      <alignment textRotation="90" wrapText="1"/>
    </xf>
    <xf numFmtId="164" fontId="1" fillId="0" borderId="11" xfId="0" applyNumberFormat="1" applyFont="1" applyBorder="1" applyAlignment="1">
      <alignment horizontal="left" textRotation="90" wrapText="1"/>
    </xf>
    <xf numFmtId="164" fontId="1" fillId="0" borderId="0" xfId="0" applyNumberFormat="1" applyFont="1" applyAlignment="1">
      <alignment textRotation="90" wrapText="1"/>
    </xf>
    <xf numFmtId="164" fontId="3" fillId="0" borderId="0" xfId="0" applyNumberFormat="1" applyFont="1"/>
    <xf numFmtId="0" fontId="3" fillId="9" borderId="11" xfId="0" applyFont="1" applyFill="1" applyBorder="1"/>
    <xf numFmtId="0" fontId="3" fillId="2" borderId="11" xfId="0" applyFont="1" applyFill="1" applyBorder="1"/>
    <xf numFmtId="0" fontId="3" fillId="0" borderId="11" xfId="0" applyFont="1" applyBorder="1"/>
    <xf numFmtId="0" fontId="3" fillId="9" borderId="17" xfId="0" applyFont="1" applyFill="1" applyBorder="1"/>
    <xf numFmtId="0" fontId="3" fillId="0" borderId="14" xfId="0" applyFont="1" applyBorder="1" applyAlignment="1">
      <alignment horizontal="center" vertical="center" wrapText="1"/>
    </xf>
    <xf numFmtId="0" fontId="3" fillId="9" borderId="11" xfId="0" applyFont="1" applyFill="1" applyBorder="1" applyAlignment="1">
      <alignment vertical="top"/>
    </xf>
    <xf numFmtId="0" fontId="3" fillId="9" borderId="17" xfId="0" applyFont="1" applyFill="1" applyBorder="1" applyAlignment="1">
      <alignment vertical="top"/>
    </xf>
    <xf numFmtId="0" fontId="3" fillId="12" borderId="11" xfId="0" applyFont="1" applyFill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4" borderId="11" xfId="0" applyFont="1" applyFill="1" applyBorder="1"/>
    <xf numFmtId="0" fontId="3" fillId="0" borderId="17" xfId="0" applyFont="1" applyBorder="1"/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top"/>
    </xf>
    <xf numFmtId="0" fontId="4" fillId="0" borderId="11" xfId="0" applyFont="1" applyBorder="1"/>
    <xf numFmtId="0" fontId="3" fillId="0" borderId="11" xfId="0" applyFont="1" applyBorder="1" applyAlignment="1">
      <alignment vertical="top"/>
    </xf>
    <xf numFmtId="0" fontId="3" fillId="0" borderId="3" xfId="0" applyFont="1" applyBorder="1" applyAlignment="1">
      <alignment horizontal="right"/>
    </xf>
    <xf numFmtId="0" fontId="1" fillId="10" borderId="11" xfId="0" applyFont="1" applyFill="1" applyBorder="1"/>
    <xf numFmtId="164" fontId="1" fillId="0" borderId="11" xfId="0" applyNumberFormat="1" applyFont="1" applyBorder="1" applyAlignment="1">
      <alignment textRotation="90" wrapText="1"/>
    </xf>
    <xf numFmtId="0" fontId="5" fillId="0" borderId="11" xfId="0" applyFont="1" applyBorder="1" applyAlignment="1">
      <alignment horizontal="right"/>
    </xf>
    <xf numFmtId="0" fontId="3" fillId="13" borderId="11" xfId="0" applyFont="1" applyFill="1" applyBorder="1"/>
    <xf numFmtId="0" fontId="1" fillId="14" borderId="11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" fillId="15" borderId="8" xfId="0" applyFont="1" applyFill="1" applyBorder="1" applyAlignment="1">
      <alignment horizontal="left" vertical="center"/>
    </xf>
    <xf numFmtId="0" fontId="1" fillId="15" borderId="30" xfId="0" applyFont="1" applyFill="1" applyBorder="1" applyAlignment="1">
      <alignment horizontal="center" vertical="center"/>
    </xf>
    <xf numFmtId="0" fontId="3" fillId="15" borderId="6" xfId="0" applyFont="1" applyFill="1" applyBorder="1"/>
    <xf numFmtId="0" fontId="3" fillId="0" borderId="7" xfId="0" applyFont="1" applyBorder="1"/>
    <xf numFmtId="0" fontId="3" fillId="15" borderId="8" xfId="0" applyFont="1" applyFill="1" applyBorder="1"/>
    <xf numFmtId="0" fontId="3" fillId="0" borderId="9" xfId="0" applyFont="1" applyBorder="1"/>
    <xf numFmtId="0" fontId="1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5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2" xfId="0" applyFont="1" applyBorder="1" applyAlignment="1">
      <alignment horizontal="center"/>
    </xf>
    <xf numFmtId="0" fontId="2" fillId="0" borderId="13" xfId="0" applyFont="1" applyBorder="1"/>
    <xf numFmtId="0" fontId="3" fillId="0" borderId="1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3" fillId="0" borderId="14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2" fillId="0" borderId="15" xfId="0" applyFont="1" applyBorder="1"/>
    <xf numFmtId="0" fontId="4" fillId="0" borderId="12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4" fillId="9" borderId="12" xfId="0" applyFont="1" applyFill="1" applyBorder="1"/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2" fillId="0" borderId="10" xfId="0" applyFont="1" applyBorder="1"/>
    <xf numFmtId="0" fontId="1" fillId="10" borderId="1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1" fillId="0" borderId="12" xfId="0" applyFont="1" applyBorder="1" applyAlignment="1">
      <alignment horizontal="center"/>
    </xf>
    <xf numFmtId="0" fontId="1" fillId="10" borderId="18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/>
    </xf>
    <xf numFmtId="0" fontId="3" fillId="14" borderId="24" xfId="0" applyFont="1" applyFill="1" applyBorder="1" applyAlignment="1">
      <alignment horizontal="center"/>
    </xf>
    <xf numFmtId="0" fontId="2" fillId="0" borderId="26" xfId="0" applyFont="1" applyBorder="1"/>
    <xf numFmtId="0" fontId="1" fillId="14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3" fillId="14" borderId="27" xfId="0" applyFont="1" applyFill="1" applyBorder="1" applyAlignment="1">
      <alignment horizontal="center"/>
    </xf>
    <xf numFmtId="0" fontId="2" fillId="0" borderId="29" xfId="0" applyFont="1" applyBorder="1"/>
    <xf numFmtId="0" fontId="1" fillId="14" borderId="12" xfId="0" applyFont="1" applyFill="1" applyBorder="1" applyAlignment="1">
      <alignment horizontal="center" vertical="center"/>
    </xf>
    <xf numFmtId="0" fontId="2" fillId="0" borderId="28" xfId="0" applyFont="1" applyBorder="1"/>
    <xf numFmtId="0" fontId="4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Thực tế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'Sprint 1'!$I$15:$AC$15</c:f>
              <c:numCache>
                <c:formatCode>dd/mm</c:formatCode>
                <c:ptCount val="21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</c:numCache>
            </c:numRef>
          </c:cat>
          <c:val>
            <c:numRef>
              <c:f>'Sprint 1'!$I$90:$AC$90</c:f>
              <c:numCache>
                <c:formatCode>General</c:formatCode>
                <c:ptCount val="21"/>
                <c:pt idx="0">
                  <c:v>239</c:v>
                </c:pt>
                <c:pt idx="1">
                  <c:v>239</c:v>
                </c:pt>
                <c:pt idx="2">
                  <c:v>237</c:v>
                </c:pt>
                <c:pt idx="3">
                  <c:v>236</c:v>
                </c:pt>
                <c:pt idx="4">
                  <c:v>205</c:v>
                </c:pt>
                <c:pt idx="5">
                  <c:v>207</c:v>
                </c:pt>
                <c:pt idx="6">
                  <c:v>207</c:v>
                </c:pt>
                <c:pt idx="7">
                  <c:v>163</c:v>
                </c:pt>
                <c:pt idx="8">
                  <c:v>159</c:v>
                </c:pt>
                <c:pt idx="9">
                  <c:v>159</c:v>
                </c:pt>
                <c:pt idx="10">
                  <c:v>159</c:v>
                </c:pt>
                <c:pt idx="11">
                  <c:v>159</c:v>
                </c:pt>
                <c:pt idx="12">
                  <c:v>159</c:v>
                </c:pt>
                <c:pt idx="13">
                  <c:v>159</c:v>
                </c:pt>
                <c:pt idx="14">
                  <c:v>92</c:v>
                </c:pt>
                <c:pt idx="15">
                  <c:v>94</c:v>
                </c:pt>
                <c:pt idx="16">
                  <c:v>74</c:v>
                </c:pt>
                <c:pt idx="17">
                  <c:v>56</c:v>
                </c:pt>
                <c:pt idx="18">
                  <c:v>54</c:v>
                </c:pt>
                <c:pt idx="19">
                  <c:v>10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4-4B89-A30A-E1AE336F97CF}"/>
            </c:ext>
          </c:extLst>
        </c:ser>
        <c:ser>
          <c:idx val="1"/>
          <c:order val="1"/>
          <c:tx>
            <c:v>Ước Tính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'Sprint 1'!$I$15:$AC$15</c:f>
              <c:numCache>
                <c:formatCode>dd/mm</c:formatCode>
                <c:ptCount val="21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</c:numCache>
            </c:numRef>
          </c:cat>
          <c:val>
            <c:numRef>
              <c:f>'Sprint 1'!$I$91:$AC$91</c:f>
              <c:numCache>
                <c:formatCode>General</c:formatCode>
                <c:ptCount val="21"/>
                <c:pt idx="0">
                  <c:v>239</c:v>
                </c:pt>
                <c:pt idx="1">
                  <c:v>239</c:v>
                </c:pt>
                <c:pt idx="2">
                  <c:v>237</c:v>
                </c:pt>
                <c:pt idx="3">
                  <c:v>236</c:v>
                </c:pt>
                <c:pt idx="4">
                  <c:v>207</c:v>
                </c:pt>
                <c:pt idx="5">
                  <c:v>207</c:v>
                </c:pt>
                <c:pt idx="6">
                  <c:v>207</c:v>
                </c:pt>
                <c:pt idx="7">
                  <c:v>159</c:v>
                </c:pt>
                <c:pt idx="8">
                  <c:v>159</c:v>
                </c:pt>
                <c:pt idx="9">
                  <c:v>159</c:v>
                </c:pt>
                <c:pt idx="10">
                  <c:v>159</c:v>
                </c:pt>
                <c:pt idx="11">
                  <c:v>159</c:v>
                </c:pt>
                <c:pt idx="12">
                  <c:v>159</c:v>
                </c:pt>
                <c:pt idx="13">
                  <c:v>159</c:v>
                </c:pt>
                <c:pt idx="14">
                  <c:v>94</c:v>
                </c:pt>
                <c:pt idx="15">
                  <c:v>94</c:v>
                </c:pt>
                <c:pt idx="16">
                  <c:v>72</c:v>
                </c:pt>
                <c:pt idx="17">
                  <c:v>54</c:v>
                </c:pt>
                <c:pt idx="18">
                  <c:v>54</c:v>
                </c:pt>
                <c:pt idx="19">
                  <c:v>9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34-4B89-A30A-E1AE336F9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007285"/>
        <c:axId val="1444597514"/>
      </c:lineChart>
      <c:dateAx>
        <c:axId val="1671007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dd/mm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4597514"/>
        <c:crosses val="autoZero"/>
        <c:auto val="1"/>
        <c:lblOffset val="100"/>
        <c:baseTimeUnit val="days"/>
      </c:dateAx>
      <c:valAx>
        <c:axId val="1444597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10072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Thực tế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'Sprint 2'!$I$15:$AB$15</c:f>
              <c:numCache>
                <c:formatCode>dd/mm</c:formatCode>
                <c:ptCount val="20"/>
                <c:pt idx="0">
                  <c:v>45618</c:v>
                </c:pt>
                <c:pt idx="1">
                  <c:v>45619</c:v>
                </c:pt>
                <c:pt idx="2">
                  <c:v>45620</c:v>
                </c:pt>
                <c:pt idx="3">
                  <c:v>45621</c:v>
                </c:pt>
                <c:pt idx="4">
                  <c:v>45622</c:v>
                </c:pt>
                <c:pt idx="5">
                  <c:v>45623</c:v>
                </c:pt>
                <c:pt idx="6">
                  <c:v>45624</c:v>
                </c:pt>
                <c:pt idx="7">
                  <c:v>45625</c:v>
                </c:pt>
                <c:pt idx="8">
                  <c:v>45626</c:v>
                </c:pt>
                <c:pt idx="9">
                  <c:v>45627</c:v>
                </c:pt>
                <c:pt idx="10">
                  <c:v>45628</c:v>
                </c:pt>
                <c:pt idx="11">
                  <c:v>45629</c:v>
                </c:pt>
                <c:pt idx="12">
                  <c:v>45630</c:v>
                </c:pt>
                <c:pt idx="13">
                  <c:v>45631</c:v>
                </c:pt>
                <c:pt idx="14">
                  <c:v>45632</c:v>
                </c:pt>
                <c:pt idx="15">
                  <c:v>45633</c:v>
                </c:pt>
                <c:pt idx="16">
                  <c:v>45634</c:v>
                </c:pt>
                <c:pt idx="17">
                  <c:v>45635</c:v>
                </c:pt>
                <c:pt idx="18">
                  <c:v>45636</c:v>
                </c:pt>
                <c:pt idx="19">
                  <c:v>45637</c:v>
                </c:pt>
              </c:numCache>
            </c:numRef>
          </c:cat>
          <c:val>
            <c:numRef>
              <c:f>'Sprint 2'!$I$68:$AB$68</c:f>
              <c:numCache>
                <c:formatCode>General</c:formatCode>
                <c:ptCount val="20"/>
                <c:pt idx="0">
                  <c:v>127</c:v>
                </c:pt>
                <c:pt idx="1">
                  <c:v>98</c:v>
                </c:pt>
                <c:pt idx="2">
                  <c:v>78.5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58.5</c:v>
                </c:pt>
                <c:pt idx="9">
                  <c:v>54</c:v>
                </c:pt>
                <c:pt idx="10">
                  <c:v>53</c:v>
                </c:pt>
                <c:pt idx="11">
                  <c:v>41.5</c:v>
                </c:pt>
                <c:pt idx="12">
                  <c:v>41</c:v>
                </c:pt>
                <c:pt idx="13">
                  <c:v>39</c:v>
                </c:pt>
                <c:pt idx="14">
                  <c:v>28</c:v>
                </c:pt>
                <c:pt idx="15">
                  <c:v>27</c:v>
                </c:pt>
                <c:pt idx="16">
                  <c:v>19</c:v>
                </c:pt>
                <c:pt idx="17">
                  <c:v>10</c:v>
                </c:pt>
                <c:pt idx="18">
                  <c:v>10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0-492D-BC3F-F49DE7F048A8}"/>
            </c:ext>
          </c:extLst>
        </c:ser>
        <c:ser>
          <c:idx val="1"/>
          <c:order val="1"/>
          <c:tx>
            <c:v>Ước tính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'Sprint 2'!$I$15:$AB$15</c:f>
              <c:numCache>
                <c:formatCode>dd/mm</c:formatCode>
                <c:ptCount val="20"/>
                <c:pt idx="0">
                  <c:v>45618</c:v>
                </c:pt>
                <c:pt idx="1">
                  <c:v>45619</c:v>
                </c:pt>
                <c:pt idx="2">
                  <c:v>45620</c:v>
                </c:pt>
                <c:pt idx="3">
                  <c:v>45621</c:v>
                </c:pt>
                <c:pt idx="4">
                  <c:v>45622</c:v>
                </c:pt>
                <c:pt idx="5">
                  <c:v>45623</c:v>
                </c:pt>
                <c:pt idx="6">
                  <c:v>45624</c:v>
                </c:pt>
                <c:pt idx="7">
                  <c:v>45625</c:v>
                </c:pt>
                <c:pt idx="8">
                  <c:v>45626</c:v>
                </c:pt>
                <c:pt idx="9">
                  <c:v>45627</c:v>
                </c:pt>
                <c:pt idx="10">
                  <c:v>45628</c:v>
                </c:pt>
                <c:pt idx="11">
                  <c:v>45629</c:v>
                </c:pt>
                <c:pt idx="12">
                  <c:v>45630</c:v>
                </c:pt>
                <c:pt idx="13">
                  <c:v>45631</c:v>
                </c:pt>
                <c:pt idx="14">
                  <c:v>45632</c:v>
                </c:pt>
                <c:pt idx="15">
                  <c:v>45633</c:v>
                </c:pt>
                <c:pt idx="16">
                  <c:v>45634</c:v>
                </c:pt>
                <c:pt idx="17">
                  <c:v>45635</c:v>
                </c:pt>
                <c:pt idx="18">
                  <c:v>45636</c:v>
                </c:pt>
                <c:pt idx="19">
                  <c:v>45637</c:v>
                </c:pt>
              </c:numCache>
            </c:numRef>
          </c:cat>
          <c:val>
            <c:numRef>
              <c:f>'Sprint 2'!$I$69:$AB$69</c:f>
              <c:numCache>
                <c:formatCode>General</c:formatCode>
                <c:ptCount val="20"/>
                <c:pt idx="0">
                  <c:v>128</c:v>
                </c:pt>
                <c:pt idx="1">
                  <c:v>98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54</c:v>
                </c:pt>
                <c:pt idx="9">
                  <c:v>54</c:v>
                </c:pt>
                <c:pt idx="10">
                  <c:v>53</c:v>
                </c:pt>
                <c:pt idx="11">
                  <c:v>41</c:v>
                </c:pt>
                <c:pt idx="12">
                  <c:v>41</c:v>
                </c:pt>
                <c:pt idx="13">
                  <c:v>39</c:v>
                </c:pt>
                <c:pt idx="14">
                  <c:v>28</c:v>
                </c:pt>
                <c:pt idx="15">
                  <c:v>27</c:v>
                </c:pt>
                <c:pt idx="16">
                  <c:v>20</c:v>
                </c:pt>
                <c:pt idx="17">
                  <c:v>10</c:v>
                </c:pt>
                <c:pt idx="18">
                  <c:v>10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0-492D-BC3F-F49DE7F04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588248"/>
        <c:axId val="1096878213"/>
      </c:lineChart>
      <c:dateAx>
        <c:axId val="1580588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dd/mm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6878213"/>
        <c:crosses val="autoZero"/>
        <c:auto val="1"/>
        <c:lblOffset val="100"/>
        <c:baseTimeUnit val="days"/>
      </c:dateAx>
      <c:valAx>
        <c:axId val="1096878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05882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94</xdr:row>
      <xdr:rowOff>9525</xdr:rowOff>
    </xdr:from>
    <xdr:ext cx="8858250" cy="3895725"/>
    <xdr:graphicFrame macro="">
      <xdr:nvGraphicFramePr>
        <xdr:cNvPr id="610059529" name="Chart 1">
          <a:extLst>
            <a:ext uri="{FF2B5EF4-FFF2-40B4-BE49-F238E27FC236}">
              <a16:creationId xmlns:a16="http://schemas.microsoft.com/office/drawing/2014/main" id="{00000000-0008-0000-0000-000009C55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1257300</xdr:colOff>
      <xdr:row>69</xdr:row>
      <xdr:rowOff>161925</xdr:rowOff>
    </xdr:from>
    <xdr:ext cx="8020050" cy="4267200"/>
    <xdr:graphicFrame macro="">
      <xdr:nvGraphicFramePr>
        <xdr:cNvPr id="2043945670" name="Chart 2">
          <a:extLst>
            <a:ext uri="{FF2B5EF4-FFF2-40B4-BE49-F238E27FC236}">
              <a16:creationId xmlns:a16="http://schemas.microsoft.com/office/drawing/2014/main" id="{00000000-0008-0000-0100-0000C622D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92"/>
  <sheetViews>
    <sheetView topLeftCell="A56" zoomScale="55" zoomScaleNormal="55" workbookViewId="0">
      <selection activeCell="E49" sqref="E49:F49"/>
    </sheetView>
  </sheetViews>
  <sheetFormatPr defaultColWidth="14.44140625" defaultRowHeight="15" customHeight="1"/>
  <cols>
    <col min="1" max="1" width="13.5546875" customWidth="1"/>
    <col min="2" max="2" width="21.109375" customWidth="1"/>
    <col min="3" max="3" width="55.88671875" customWidth="1"/>
    <col min="4" max="4" width="12" customWidth="1"/>
    <col min="5" max="5" width="10.33203125" customWidth="1"/>
    <col min="6" max="6" width="29.109375" customWidth="1"/>
    <col min="7" max="8" width="6.109375" customWidth="1"/>
    <col min="9" max="11" width="6" customWidth="1"/>
    <col min="12" max="12" width="9.109375" customWidth="1"/>
    <col min="13" max="19" width="6" customWidth="1"/>
    <col min="20" max="20" width="6.109375" customWidth="1"/>
    <col min="21" max="28" width="6" customWidth="1"/>
    <col min="29" max="29" width="6.109375" customWidth="1"/>
    <col min="30" max="49" width="8.6640625" customWidth="1"/>
  </cols>
  <sheetData>
    <row r="1" spans="1:49" s="56" customFormat="1" ht="34.799999999999997" customHeight="1">
      <c r="A1" s="71" t="s">
        <v>0</v>
      </c>
      <c r="B1" s="72"/>
      <c r="C1" s="52" t="s">
        <v>100</v>
      </c>
      <c r="D1" s="53"/>
      <c r="E1" s="54"/>
      <c r="F1" s="55" t="s">
        <v>1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</row>
    <row r="2" spans="1:49" ht="14.25" customHeight="1">
      <c r="A2" s="62" t="s">
        <v>2</v>
      </c>
      <c r="B2" s="63"/>
      <c r="C2" s="4" t="s">
        <v>3</v>
      </c>
      <c r="D2" s="1"/>
      <c r="E2" s="5"/>
      <c r="F2" s="6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14.25" customHeight="1">
      <c r="A3" s="62" t="s">
        <v>5</v>
      </c>
      <c r="B3" s="63"/>
      <c r="C3" s="7">
        <v>45962</v>
      </c>
      <c r="D3" s="1"/>
      <c r="E3" s="8"/>
      <c r="F3" s="6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18" customHeight="1">
      <c r="A4" s="62" t="s">
        <v>7</v>
      </c>
      <c r="B4" s="63"/>
      <c r="C4" s="7">
        <v>45982</v>
      </c>
      <c r="D4" s="1"/>
      <c r="E4" s="9"/>
      <c r="F4" s="6" t="s">
        <v>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18" customHeight="1">
      <c r="A5" s="1"/>
      <c r="B5" s="1"/>
      <c r="C5" s="1"/>
      <c r="D5" s="1"/>
      <c r="E5" s="10"/>
      <c r="F5" s="11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14.25" customHeight="1">
      <c r="A6" s="1"/>
      <c r="B6" s="73" t="s">
        <v>10</v>
      </c>
      <c r="C6" s="74"/>
      <c r="D6" s="74"/>
      <c r="E6" s="6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14.25" customHeight="1">
      <c r="A7" s="1"/>
      <c r="B7" s="12" t="s">
        <v>11</v>
      </c>
      <c r="C7" s="12" t="s">
        <v>12</v>
      </c>
      <c r="D7" s="12" t="s">
        <v>13</v>
      </c>
      <c r="E7" s="12" t="s">
        <v>14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t="14.25" customHeight="1">
      <c r="A8" s="1"/>
      <c r="B8" s="13">
        <v>1</v>
      </c>
      <c r="C8" s="4" t="s">
        <v>15</v>
      </c>
      <c r="D8" s="14">
        <f>SUMIFS($G$16:$G$214, $E$16:$E$214, "Phú") + SUMIFS($G$16:$G$214, $E$16:$E$214, "All Team")/5</f>
        <v>44.8</v>
      </c>
      <c r="E8" s="14">
        <f>SUMIFS($H$16:$H$214, $E$16:$E$214, "Phú") + SUMIFS($H$16:$H$214, $E$16:$E$214, "All Team")/5</f>
        <v>44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t="14.25" customHeight="1">
      <c r="A9" s="1"/>
      <c r="B9" s="13">
        <v>2</v>
      </c>
      <c r="C9" s="4" t="s">
        <v>16</v>
      </c>
      <c r="D9" s="4">
        <f>SUMIFS($G$16:$G$214, $E$16:$E$214, "Tú") + SUMIFS($G$16:$G$214, $E$16:$E$214, "All Team")/5 + SUMIFS($G$16:$G$214, $E$16:$E$214, "Toàn, Hưng, Tú")/3</f>
        <v>58.133333333333333</v>
      </c>
      <c r="E9" s="4">
        <f>SUMIFS($H$16:$H$214, $E$16:$E$214, "Tú") + SUMIFS($H$16:$H$214, $E$16:$E$214, "All Team")/5 + SUMIFS($H$16:$H$214, $E$16:$E$214, "Toàn, Hưng, Tú")/3</f>
        <v>58.333333333333336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14.25" customHeight="1">
      <c r="A10" s="1"/>
      <c r="B10" s="13">
        <v>3</v>
      </c>
      <c r="C10" s="4" t="s">
        <v>17</v>
      </c>
      <c r="D10" s="4">
        <f>SUMIFS($G$16:$G$214, $E$16:$E$214, "Uyên") + SUMIFS($G$16:$G$214, $E$16:$E$214, "All Team")/5</f>
        <v>52.8</v>
      </c>
      <c r="E10" s="4">
        <f>SUMIFS($H$16:$H$214, $E$16:$E$214, "Uyên") + SUMIFS($H$16:$H$214, $E$16:$E$214, "All Team")/5</f>
        <v>54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t="14.25" customHeight="1">
      <c r="A11" s="1"/>
      <c r="B11" s="13">
        <v>4</v>
      </c>
      <c r="C11" s="4" t="s">
        <v>18</v>
      </c>
      <c r="D11" s="4">
        <f>SUMIFS($G$16:$G$214, $E$16:$E$214, "Toàn") + SUMIFS($G$16:$G$214, $E$16:$E$214, "All Team")/5 + SUMIFS($G$16:$G$214, $E$16:$E$214, "Toàn, Hưng, Tú")/3</f>
        <v>48.133333333333333</v>
      </c>
      <c r="E11" s="4">
        <f>SUMIFS($H$16:$H$214, $E$16:$E$214, "Toàn") + SUMIFS($H$16:$H$214, $E$16:$E$214, "All Team")/5 + SUMIFS($H$16:$H$214, $E$16:$E$214, "Toàn, Hưng, Tú")/3</f>
        <v>47.333333333333336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t="14.25" customHeight="1">
      <c r="A12" s="1"/>
      <c r="B12" s="13">
        <v>5</v>
      </c>
      <c r="C12" s="4" t="s">
        <v>19</v>
      </c>
      <c r="D12" s="4">
        <f>SUMIFS($G$16:$G$214, $E$16:$E$214, "Hưng") + SUMIFS($G$16:$G$214, $E$16:$E$214, "All Team")/5 + SUMIFS($G$16:$G$214, $E$16:$E$214, "Toàn, Hưng, Tú")/3</f>
        <v>50.133333333333333</v>
      </c>
      <c r="E12" s="4">
        <f>SUMIFS($H$16:$H$214, $E$16:$E$214, "Hưng") + SUMIFS($H$16:$H$214, $E$16:$E$214, "All Team")/5 + SUMIFS($H$16:$H$214, $E$16:$E$214, "Toàn, Hưng, Tú")/3</f>
        <v>47.333333333333336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t="14.25" customHeight="1">
      <c r="A13" s="1"/>
      <c r="B13" s="75" t="s">
        <v>20</v>
      </c>
      <c r="C13" s="63"/>
      <c r="D13" s="15">
        <f t="shared" ref="D13:E13" si="0">SUM(D8:D12)</f>
        <v>254</v>
      </c>
      <c r="E13" s="15">
        <f t="shared" si="0"/>
        <v>251.00000000000003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t="63.75" customHeight="1">
      <c r="A15" s="16" t="s">
        <v>21</v>
      </c>
      <c r="B15" s="16" t="s">
        <v>22</v>
      </c>
      <c r="C15" s="76" t="s">
        <v>23</v>
      </c>
      <c r="D15" s="58"/>
      <c r="E15" s="76" t="s">
        <v>24</v>
      </c>
      <c r="F15" s="58"/>
      <c r="G15" s="17" t="s">
        <v>13</v>
      </c>
      <c r="H15" s="17" t="s">
        <v>14</v>
      </c>
      <c r="I15" s="18">
        <v>45962</v>
      </c>
      <c r="J15" s="18">
        <v>45963</v>
      </c>
      <c r="K15" s="18">
        <v>45964</v>
      </c>
      <c r="L15" s="18">
        <v>45965</v>
      </c>
      <c r="M15" s="18">
        <v>45966</v>
      </c>
      <c r="N15" s="18">
        <v>45967</v>
      </c>
      <c r="O15" s="18">
        <v>45968</v>
      </c>
      <c r="P15" s="18">
        <v>45969</v>
      </c>
      <c r="Q15" s="18">
        <v>45970</v>
      </c>
      <c r="R15" s="18">
        <v>45971</v>
      </c>
      <c r="S15" s="18">
        <v>45972</v>
      </c>
      <c r="T15" s="18">
        <v>45973</v>
      </c>
      <c r="U15" s="18">
        <v>45974</v>
      </c>
      <c r="V15" s="18">
        <v>45975</v>
      </c>
      <c r="W15" s="18">
        <v>45976</v>
      </c>
      <c r="X15" s="18">
        <v>45977</v>
      </c>
      <c r="Y15" s="18">
        <v>45978</v>
      </c>
      <c r="Z15" s="18">
        <v>45979</v>
      </c>
      <c r="AA15" s="18">
        <v>45980</v>
      </c>
      <c r="AB15" s="18">
        <v>45981</v>
      </c>
      <c r="AC15" s="18">
        <v>45982</v>
      </c>
      <c r="AD15" s="19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</row>
    <row r="16" spans="1:49" ht="14.25" customHeight="1">
      <c r="A16" s="64" t="s">
        <v>3</v>
      </c>
      <c r="B16" s="59" t="s">
        <v>25</v>
      </c>
      <c r="C16" s="67"/>
      <c r="D16" s="58"/>
      <c r="E16" s="69" t="s">
        <v>26</v>
      </c>
      <c r="F16" s="58"/>
      <c r="G16" s="21">
        <v>2</v>
      </c>
      <c r="H16" s="21">
        <v>2</v>
      </c>
      <c r="I16" s="22">
        <v>0</v>
      </c>
      <c r="J16" s="21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t="14.25" customHeight="1">
      <c r="A17" s="65"/>
      <c r="B17" s="59" t="s">
        <v>27</v>
      </c>
      <c r="C17" s="67"/>
      <c r="D17" s="58"/>
      <c r="E17" s="69" t="s">
        <v>28</v>
      </c>
      <c r="F17" s="58"/>
      <c r="G17" s="24">
        <v>4</v>
      </c>
      <c r="H17" s="24">
        <v>4</v>
      </c>
      <c r="I17" s="22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t="14.25" customHeight="1">
      <c r="A18" s="65"/>
      <c r="B18" s="70" t="s">
        <v>29</v>
      </c>
      <c r="C18" s="67"/>
      <c r="D18" s="58"/>
      <c r="E18" s="69" t="s">
        <v>30</v>
      </c>
      <c r="F18" s="58"/>
      <c r="G18" s="24">
        <v>2</v>
      </c>
      <c r="H18" s="24">
        <v>2</v>
      </c>
      <c r="I18" s="22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t="14.25" customHeight="1">
      <c r="A19" s="65"/>
      <c r="B19" s="59" t="s">
        <v>31</v>
      </c>
      <c r="C19" s="67"/>
      <c r="D19" s="58"/>
      <c r="E19" s="69" t="s">
        <v>32</v>
      </c>
      <c r="F19" s="58"/>
      <c r="G19" s="24">
        <v>4</v>
      </c>
      <c r="H19" s="24">
        <v>4</v>
      </c>
      <c r="I19" s="22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t="17.25" customHeight="1">
      <c r="A20" s="65"/>
      <c r="B20" s="64" t="s">
        <v>33</v>
      </c>
      <c r="C20" s="68" t="s">
        <v>34</v>
      </c>
      <c r="D20" s="58"/>
      <c r="E20" s="69" t="s">
        <v>30</v>
      </c>
      <c r="F20" s="58"/>
      <c r="G20" s="26">
        <v>1</v>
      </c>
      <c r="H20" s="26">
        <v>2</v>
      </c>
      <c r="I20" s="23">
        <v>2</v>
      </c>
      <c r="J20" s="23">
        <v>2</v>
      </c>
      <c r="K20" s="23">
        <v>2</v>
      </c>
      <c r="L20" s="23">
        <v>2</v>
      </c>
      <c r="M20" s="22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t="14.25" customHeight="1">
      <c r="A21" s="65"/>
      <c r="B21" s="65"/>
      <c r="C21" s="69"/>
      <c r="D21" s="94"/>
      <c r="E21" s="69"/>
      <c r="F21" s="94"/>
      <c r="G21" s="27"/>
      <c r="H21" s="27"/>
      <c r="I21" s="23"/>
      <c r="J21" s="23"/>
      <c r="K21" s="23"/>
      <c r="L21" s="21"/>
      <c r="M21" s="28">
        <v>-1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14.25" customHeight="1">
      <c r="A22" s="65"/>
      <c r="B22" s="65"/>
      <c r="C22" s="68" t="s">
        <v>35</v>
      </c>
      <c r="D22" s="58"/>
      <c r="E22" s="69" t="s">
        <v>30</v>
      </c>
      <c r="F22" s="58"/>
      <c r="G22" s="27">
        <v>2</v>
      </c>
      <c r="H22" s="27">
        <v>2</v>
      </c>
      <c r="I22" s="23">
        <v>2</v>
      </c>
      <c r="J22" s="23">
        <v>2</v>
      </c>
      <c r="K22" s="23">
        <v>2</v>
      </c>
      <c r="L22" s="21">
        <v>2</v>
      </c>
      <c r="M22" s="22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t="14.25" customHeight="1">
      <c r="A23" s="65"/>
      <c r="B23" s="65"/>
      <c r="C23" s="68" t="s">
        <v>36</v>
      </c>
      <c r="D23" s="58"/>
      <c r="E23" s="69" t="s">
        <v>37</v>
      </c>
      <c r="F23" s="58"/>
      <c r="G23" s="27">
        <v>4</v>
      </c>
      <c r="H23" s="27">
        <v>4</v>
      </c>
      <c r="I23" s="23">
        <v>4</v>
      </c>
      <c r="J23" s="23">
        <v>4</v>
      </c>
      <c r="K23" s="23">
        <v>4</v>
      </c>
      <c r="L23" s="23">
        <v>4</v>
      </c>
      <c r="M23" s="22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t="14.25" customHeight="1">
      <c r="A24" s="65"/>
      <c r="B24" s="65"/>
      <c r="C24" s="68" t="s">
        <v>38</v>
      </c>
      <c r="D24" s="58"/>
      <c r="E24" s="69" t="s">
        <v>39</v>
      </c>
      <c r="F24" s="58"/>
      <c r="G24" s="27">
        <v>4</v>
      </c>
      <c r="H24" s="27">
        <v>4</v>
      </c>
      <c r="I24" s="23">
        <v>4</v>
      </c>
      <c r="J24" s="23">
        <v>4</v>
      </c>
      <c r="K24" s="23">
        <v>2</v>
      </c>
      <c r="L24" s="23">
        <v>1</v>
      </c>
      <c r="M24" s="22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t="14.25" customHeight="1">
      <c r="A25" s="65"/>
      <c r="B25" s="65"/>
      <c r="C25" s="68" t="s">
        <v>40</v>
      </c>
      <c r="D25" s="58"/>
      <c r="E25" s="69" t="s">
        <v>28</v>
      </c>
      <c r="F25" s="58"/>
      <c r="G25" s="27">
        <v>3</v>
      </c>
      <c r="H25" s="27">
        <v>3</v>
      </c>
      <c r="I25" s="27">
        <v>3</v>
      </c>
      <c r="J25" s="27">
        <v>3</v>
      </c>
      <c r="K25" s="27">
        <v>3</v>
      </c>
      <c r="L25" s="27">
        <v>3</v>
      </c>
      <c r="M25" s="22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14.25" customHeight="1">
      <c r="A26" s="65"/>
      <c r="B26" s="65"/>
      <c r="C26" s="68" t="s">
        <v>41</v>
      </c>
      <c r="D26" s="58"/>
      <c r="E26" s="69" t="s">
        <v>42</v>
      </c>
      <c r="F26" s="58"/>
      <c r="G26" s="27">
        <v>3</v>
      </c>
      <c r="H26" s="27">
        <v>3</v>
      </c>
      <c r="I26" s="27">
        <v>3</v>
      </c>
      <c r="J26" s="27">
        <v>3</v>
      </c>
      <c r="K26" s="27">
        <v>3</v>
      </c>
      <c r="L26" s="27">
        <v>3</v>
      </c>
      <c r="M26" s="22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t="14.25" customHeight="1">
      <c r="A27" s="65"/>
      <c r="B27" s="65"/>
      <c r="C27" s="68" t="s">
        <v>43</v>
      </c>
      <c r="D27" s="58"/>
      <c r="E27" s="69" t="s">
        <v>30</v>
      </c>
      <c r="F27" s="58"/>
      <c r="G27" s="27">
        <v>2</v>
      </c>
      <c r="H27" s="27">
        <v>3</v>
      </c>
      <c r="I27" s="27">
        <v>3</v>
      </c>
      <c r="J27" s="27">
        <v>3</v>
      </c>
      <c r="K27" s="27">
        <v>3</v>
      </c>
      <c r="L27" s="27">
        <v>3</v>
      </c>
      <c r="M27" s="22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14.25" customHeight="1">
      <c r="A28" s="65"/>
      <c r="B28" s="65"/>
      <c r="C28" s="69"/>
      <c r="D28" s="94"/>
      <c r="E28" s="69"/>
      <c r="F28" s="94"/>
      <c r="G28" s="27"/>
      <c r="H28" s="27"/>
      <c r="I28" s="27"/>
      <c r="J28" s="27"/>
      <c r="K28" s="27"/>
      <c r="L28" s="27"/>
      <c r="M28" s="28">
        <v>-1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t="14.25" customHeight="1">
      <c r="A29" s="65"/>
      <c r="B29" s="65"/>
      <c r="C29" s="68" t="s">
        <v>44</v>
      </c>
      <c r="D29" s="58"/>
      <c r="E29" s="69" t="s">
        <v>37</v>
      </c>
      <c r="F29" s="58"/>
      <c r="G29" s="27">
        <v>4</v>
      </c>
      <c r="H29" s="27">
        <v>4</v>
      </c>
      <c r="I29" s="27">
        <v>4</v>
      </c>
      <c r="J29" s="27">
        <v>4</v>
      </c>
      <c r="K29" s="27">
        <v>4</v>
      </c>
      <c r="L29" s="27">
        <v>4</v>
      </c>
      <c r="M29" s="22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4.25" customHeight="1">
      <c r="A30" s="65"/>
      <c r="B30" s="65"/>
      <c r="C30" s="68" t="s">
        <v>45</v>
      </c>
      <c r="D30" s="58"/>
      <c r="E30" s="69" t="s">
        <v>42</v>
      </c>
      <c r="F30" s="58"/>
      <c r="G30" s="27">
        <v>2</v>
      </c>
      <c r="H30" s="27">
        <v>2</v>
      </c>
      <c r="I30" s="27">
        <v>2</v>
      </c>
      <c r="J30" s="27">
        <v>2</v>
      </c>
      <c r="K30" s="27">
        <v>2</v>
      </c>
      <c r="L30" s="27">
        <v>2</v>
      </c>
      <c r="M30" s="22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t="14.25" customHeight="1">
      <c r="A31" s="65"/>
      <c r="B31" s="65"/>
      <c r="C31" s="68" t="s">
        <v>46</v>
      </c>
      <c r="D31" s="58"/>
      <c r="E31" s="69" t="s">
        <v>39</v>
      </c>
      <c r="F31" s="58"/>
      <c r="G31" s="27">
        <v>3</v>
      </c>
      <c r="H31" s="27">
        <v>3</v>
      </c>
      <c r="I31" s="27">
        <v>3</v>
      </c>
      <c r="J31" s="27">
        <v>3</v>
      </c>
      <c r="K31" s="27">
        <v>3</v>
      </c>
      <c r="L31" s="27">
        <v>3</v>
      </c>
      <c r="M31" s="22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14.25" customHeight="1">
      <c r="A32" s="65"/>
      <c r="B32" s="66"/>
      <c r="C32" s="68" t="s">
        <v>47</v>
      </c>
      <c r="D32" s="58"/>
      <c r="E32" s="69" t="s">
        <v>28</v>
      </c>
      <c r="F32" s="58"/>
      <c r="G32" s="27">
        <v>2</v>
      </c>
      <c r="H32" s="27">
        <v>2</v>
      </c>
      <c r="I32" s="27">
        <v>2</v>
      </c>
      <c r="J32" s="27">
        <v>2</v>
      </c>
      <c r="K32" s="27">
        <v>2</v>
      </c>
      <c r="L32" s="27">
        <v>2</v>
      </c>
      <c r="M32" s="22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t="14.25" customHeight="1">
      <c r="A33" s="65"/>
      <c r="B33" s="64" t="s">
        <v>48</v>
      </c>
      <c r="C33" s="59" t="s">
        <v>49</v>
      </c>
      <c r="D33" s="58"/>
      <c r="E33" s="57" t="s">
        <v>42</v>
      </c>
      <c r="F33" s="58"/>
      <c r="G33" s="26">
        <v>5</v>
      </c>
      <c r="H33" s="26">
        <v>3</v>
      </c>
      <c r="I33" s="26">
        <v>3</v>
      </c>
      <c r="J33" s="26">
        <v>3</v>
      </c>
      <c r="K33" s="26">
        <v>3</v>
      </c>
      <c r="L33" s="26">
        <v>3</v>
      </c>
      <c r="M33" s="26">
        <v>3</v>
      </c>
      <c r="N33" s="26">
        <v>3</v>
      </c>
      <c r="O33" s="26">
        <v>3</v>
      </c>
      <c r="P33" s="22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t="14.25" customHeight="1">
      <c r="A34" s="65"/>
      <c r="B34" s="65"/>
      <c r="C34" s="69"/>
      <c r="D34" s="94"/>
      <c r="E34" s="57"/>
      <c r="F34" s="95"/>
      <c r="G34" s="27"/>
      <c r="H34" s="27"/>
      <c r="I34" s="27"/>
      <c r="J34" s="27"/>
      <c r="K34" s="27"/>
      <c r="L34" s="27"/>
      <c r="M34" s="27"/>
      <c r="N34" s="27"/>
      <c r="O34" s="27"/>
      <c r="P34" s="31">
        <v>2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t="14.25" customHeight="1">
      <c r="A35" s="65"/>
      <c r="B35" s="65"/>
      <c r="C35" s="59" t="s">
        <v>50</v>
      </c>
      <c r="D35" s="58"/>
      <c r="E35" s="57" t="s">
        <v>42</v>
      </c>
      <c r="F35" s="58"/>
      <c r="G35" s="27">
        <v>3</v>
      </c>
      <c r="H35" s="27">
        <v>3</v>
      </c>
      <c r="I35" s="27">
        <v>3</v>
      </c>
      <c r="J35" s="27">
        <v>3</v>
      </c>
      <c r="K35" s="27">
        <v>3</v>
      </c>
      <c r="L35" s="27">
        <v>3</v>
      </c>
      <c r="M35" s="27">
        <v>3</v>
      </c>
      <c r="N35" s="27">
        <v>3</v>
      </c>
      <c r="O35" s="27">
        <v>3</v>
      </c>
      <c r="P35" s="22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t="14.25" customHeight="1">
      <c r="A36" s="65"/>
      <c r="B36" s="65"/>
      <c r="C36" s="59" t="s">
        <v>51</v>
      </c>
      <c r="D36" s="58"/>
      <c r="E36" s="57" t="s">
        <v>39</v>
      </c>
      <c r="F36" s="58"/>
      <c r="G36" s="27">
        <v>6</v>
      </c>
      <c r="H36" s="27">
        <v>6</v>
      </c>
      <c r="I36" s="27">
        <v>6</v>
      </c>
      <c r="J36" s="27">
        <v>6</v>
      </c>
      <c r="K36" s="27">
        <v>6</v>
      </c>
      <c r="L36" s="27">
        <v>6</v>
      </c>
      <c r="M36" s="27">
        <v>6</v>
      </c>
      <c r="N36" s="27">
        <v>6</v>
      </c>
      <c r="O36" s="27">
        <v>6</v>
      </c>
      <c r="P36" s="22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t="14.25" customHeight="1">
      <c r="A37" s="65"/>
      <c r="B37" s="65"/>
      <c r="C37" s="59" t="s">
        <v>52</v>
      </c>
      <c r="D37" s="58"/>
      <c r="E37" s="57" t="s">
        <v>30</v>
      </c>
      <c r="F37" s="58"/>
      <c r="G37" s="27">
        <v>4</v>
      </c>
      <c r="H37" s="27">
        <v>6</v>
      </c>
      <c r="I37" s="27">
        <v>6</v>
      </c>
      <c r="J37" s="27">
        <v>6</v>
      </c>
      <c r="K37" s="27">
        <v>6</v>
      </c>
      <c r="L37" s="27">
        <v>6</v>
      </c>
      <c r="M37" s="27">
        <v>6</v>
      </c>
      <c r="N37" s="27">
        <v>6</v>
      </c>
      <c r="O37" s="27">
        <v>6</v>
      </c>
      <c r="P37" s="22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t="14.25" customHeight="1">
      <c r="A38" s="65"/>
      <c r="B38" s="65"/>
      <c r="C38" s="69"/>
      <c r="D38" s="94"/>
      <c r="E38" s="57"/>
      <c r="F38" s="95"/>
      <c r="G38" s="27"/>
      <c r="H38" s="27"/>
      <c r="I38" s="27"/>
      <c r="J38" s="27"/>
      <c r="K38" s="27"/>
      <c r="L38" s="27"/>
      <c r="M38" s="27"/>
      <c r="N38" s="27"/>
      <c r="O38" s="27"/>
      <c r="P38" s="28">
        <v>-2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t="14.25" customHeight="1">
      <c r="A39" s="65"/>
      <c r="B39" s="65"/>
      <c r="C39" s="59" t="s">
        <v>53</v>
      </c>
      <c r="D39" s="58"/>
      <c r="E39" s="57" t="s">
        <v>28</v>
      </c>
      <c r="F39" s="58"/>
      <c r="G39" s="27">
        <v>4</v>
      </c>
      <c r="H39" s="27">
        <v>4</v>
      </c>
      <c r="I39" s="27">
        <v>4</v>
      </c>
      <c r="J39" s="27">
        <v>4</v>
      </c>
      <c r="K39" s="27">
        <v>4</v>
      </c>
      <c r="L39" s="27">
        <v>4</v>
      </c>
      <c r="M39" s="27">
        <v>4</v>
      </c>
      <c r="N39" s="27">
        <v>4</v>
      </c>
      <c r="O39" s="27">
        <v>4</v>
      </c>
      <c r="P39" s="22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t="16.8">
      <c r="A40" s="65"/>
      <c r="B40" s="65"/>
      <c r="C40" s="59" t="s">
        <v>54</v>
      </c>
      <c r="D40" s="58"/>
      <c r="E40" s="57" t="s">
        <v>37</v>
      </c>
      <c r="F40" s="58"/>
      <c r="G40" s="27">
        <v>7</v>
      </c>
      <c r="H40" s="27">
        <v>6</v>
      </c>
      <c r="I40" s="27">
        <v>6</v>
      </c>
      <c r="J40" s="27">
        <v>6</v>
      </c>
      <c r="K40" s="27">
        <v>6</v>
      </c>
      <c r="L40" s="27">
        <v>6</v>
      </c>
      <c r="M40" s="27">
        <v>6</v>
      </c>
      <c r="N40" s="27">
        <v>6</v>
      </c>
      <c r="O40" s="27">
        <v>6</v>
      </c>
      <c r="P40" s="22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t="16.8">
      <c r="A41" s="65"/>
      <c r="B41" s="65"/>
      <c r="C41" s="69"/>
      <c r="D41" s="94"/>
      <c r="E41" s="57"/>
      <c r="F41" s="95"/>
      <c r="G41" s="27"/>
      <c r="H41" s="27"/>
      <c r="I41" s="27"/>
      <c r="J41" s="27"/>
      <c r="K41" s="27"/>
      <c r="L41" s="27"/>
      <c r="M41" s="27"/>
      <c r="N41" s="27"/>
      <c r="O41" s="23"/>
      <c r="P41" s="31">
        <v>1</v>
      </c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4.25" customHeight="1">
      <c r="A42" s="65"/>
      <c r="B42" s="65"/>
      <c r="C42" s="59" t="s">
        <v>55</v>
      </c>
      <c r="D42" s="58"/>
      <c r="E42" s="57" t="s">
        <v>30</v>
      </c>
      <c r="F42" s="58"/>
      <c r="G42" s="27">
        <v>4</v>
      </c>
      <c r="H42" s="27">
        <v>4</v>
      </c>
      <c r="I42" s="27">
        <v>4</v>
      </c>
      <c r="J42" s="27">
        <v>4</v>
      </c>
      <c r="K42" s="27">
        <v>4</v>
      </c>
      <c r="L42" s="27">
        <v>4</v>
      </c>
      <c r="M42" s="27">
        <v>4</v>
      </c>
      <c r="N42" s="27">
        <v>4</v>
      </c>
      <c r="O42" s="27">
        <v>4</v>
      </c>
      <c r="P42" s="22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t="14.25" customHeight="1">
      <c r="A43" s="65"/>
      <c r="B43" s="65"/>
      <c r="C43" s="59" t="s">
        <v>56</v>
      </c>
      <c r="D43" s="58"/>
      <c r="E43" s="57" t="s">
        <v>39</v>
      </c>
      <c r="F43" s="58"/>
      <c r="G43" s="27">
        <v>3</v>
      </c>
      <c r="H43" s="27">
        <v>3</v>
      </c>
      <c r="I43" s="27">
        <v>3</v>
      </c>
      <c r="J43" s="27">
        <v>3</v>
      </c>
      <c r="K43" s="27">
        <v>3</v>
      </c>
      <c r="L43" s="27">
        <v>3</v>
      </c>
      <c r="M43" s="27">
        <v>3</v>
      </c>
      <c r="N43" s="27">
        <v>3</v>
      </c>
      <c r="O43" s="27">
        <v>3</v>
      </c>
      <c r="P43" s="22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4.25" customHeight="1">
      <c r="A44" s="65"/>
      <c r="B44" s="65"/>
      <c r="C44" s="59" t="s">
        <v>57</v>
      </c>
      <c r="D44" s="58"/>
      <c r="E44" s="57" t="s">
        <v>42</v>
      </c>
      <c r="F44" s="58"/>
      <c r="G44" s="27">
        <v>4</v>
      </c>
      <c r="H44" s="27">
        <v>4</v>
      </c>
      <c r="I44" s="27">
        <v>4</v>
      </c>
      <c r="J44" s="27">
        <v>4</v>
      </c>
      <c r="K44" s="27">
        <v>4</v>
      </c>
      <c r="L44" s="27">
        <v>4</v>
      </c>
      <c r="M44" s="27">
        <v>4</v>
      </c>
      <c r="N44" s="27">
        <v>4</v>
      </c>
      <c r="O44" s="27">
        <v>4</v>
      </c>
      <c r="P44" s="22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t="14.25" customHeight="1">
      <c r="A45" s="65"/>
      <c r="B45" s="65"/>
      <c r="C45" s="59" t="s">
        <v>58</v>
      </c>
      <c r="D45" s="58"/>
      <c r="E45" s="57" t="s">
        <v>37</v>
      </c>
      <c r="F45" s="58"/>
      <c r="G45" s="27">
        <v>7</v>
      </c>
      <c r="H45" s="27">
        <v>6</v>
      </c>
      <c r="I45" s="27">
        <v>6</v>
      </c>
      <c r="J45" s="27">
        <v>6</v>
      </c>
      <c r="K45" s="27">
        <v>6</v>
      </c>
      <c r="L45" s="27">
        <v>6</v>
      </c>
      <c r="M45" s="27">
        <v>6</v>
      </c>
      <c r="N45" s="27">
        <v>6</v>
      </c>
      <c r="O45" s="27">
        <v>6</v>
      </c>
      <c r="P45" s="22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t="14.25" customHeight="1">
      <c r="A46" s="65"/>
      <c r="B46" s="65"/>
      <c r="C46" s="69"/>
      <c r="D46" s="94"/>
      <c r="E46" s="57"/>
      <c r="F46" s="95"/>
      <c r="G46" s="30"/>
      <c r="H46" s="27"/>
      <c r="I46" s="27"/>
      <c r="J46" s="27"/>
      <c r="K46" s="27"/>
      <c r="L46" s="27"/>
      <c r="M46" s="27"/>
      <c r="N46" s="27"/>
      <c r="O46" s="32"/>
      <c r="P46" s="31">
        <v>1</v>
      </c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t="14.25" customHeight="1">
      <c r="A47" s="65"/>
      <c r="B47" s="66"/>
      <c r="C47" s="59" t="s">
        <v>59</v>
      </c>
      <c r="D47" s="58"/>
      <c r="E47" s="57" t="s">
        <v>28</v>
      </c>
      <c r="F47" s="58"/>
      <c r="G47" s="27">
        <v>3</v>
      </c>
      <c r="H47" s="27">
        <v>3</v>
      </c>
      <c r="I47" s="27">
        <v>3</v>
      </c>
      <c r="J47" s="27">
        <v>3</v>
      </c>
      <c r="K47" s="27">
        <v>3</v>
      </c>
      <c r="L47" s="27">
        <v>3</v>
      </c>
      <c r="M47" s="27">
        <v>3</v>
      </c>
      <c r="N47" s="27">
        <v>3</v>
      </c>
      <c r="O47" s="27">
        <v>3</v>
      </c>
      <c r="P47" s="22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14.25" customHeight="1">
      <c r="A48" s="65"/>
      <c r="B48" s="33"/>
      <c r="C48" s="69"/>
      <c r="D48" s="94"/>
      <c r="E48" s="57"/>
      <c r="F48" s="95"/>
      <c r="G48" s="27"/>
      <c r="H48" s="27"/>
      <c r="I48" s="27"/>
      <c r="J48" s="27"/>
      <c r="K48" s="27"/>
      <c r="L48" s="27"/>
      <c r="M48" s="27"/>
      <c r="N48" s="27"/>
      <c r="O48" s="27"/>
      <c r="P48" s="31">
        <v>2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t="14.25" customHeight="1">
      <c r="A49" s="65"/>
      <c r="B49" s="64" t="s">
        <v>60</v>
      </c>
      <c r="C49" s="59" t="s">
        <v>61</v>
      </c>
      <c r="D49" s="58"/>
      <c r="E49" s="57" t="s">
        <v>42</v>
      </c>
      <c r="F49" s="58"/>
      <c r="G49" s="26">
        <v>4</v>
      </c>
      <c r="H49" s="26">
        <v>4</v>
      </c>
      <c r="I49" s="26">
        <v>4</v>
      </c>
      <c r="J49" s="26">
        <v>4</v>
      </c>
      <c r="K49" s="26">
        <v>4</v>
      </c>
      <c r="L49" s="26">
        <v>4</v>
      </c>
      <c r="M49" s="26">
        <v>4</v>
      </c>
      <c r="N49" s="26">
        <v>4</v>
      </c>
      <c r="O49" s="26">
        <v>4</v>
      </c>
      <c r="P49" s="26">
        <v>4</v>
      </c>
      <c r="Q49" s="26">
        <v>4</v>
      </c>
      <c r="R49" s="26">
        <v>4</v>
      </c>
      <c r="S49" s="26">
        <v>4</v>
      </c>
      <c r="T49" s="26">
        <v>4</v>
      </c>
      <c r="U49" s="26">
        <v>4</v>
      </c>
      <c r="V49" s="26">
        <v>4</v>
      </c>
      <c r="W49" s="22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t="14.25" customHeight="1">
      <c r="A50" s="65"/>
      <c r="B50" s="65"/>
      <c r="C50" s="59" t="s">
        <v>62</v>
      </c>
      <c r="D50" s="58"/>
      <c r="E50" s="57" t="s">
        <v>42</v>
      </c>
      <c r="F50" s="58"/>
      <c r="G50" s="27">
        <v>3</v>
      </c>
      <c r="H50" s="27">
        <v>3</v>
      </c>
      <c r="I50" s="27">
        <v>3</v>
      </c>
      <c r="J50" s="27">
        <v>3</v>
      </c>
      <c r="K50" s="27">
        <v>3</v>
      </c>
      <c r="L50" s="27">
        <v>3</v>
      </c>
      <c r="M50" s="27">
        <v>3</v>
      </c>
      <c r="N50" s="27">
        <v>3</v>
      </c>
      <c r="O50" s="27">
        <v>3</v>
      </c>
      <c r="P50" s="27">
        <v>3</v>
      </c>
      <c r="Q50" s="27">
        <v>3</v>
      </c>
      <c r="R50" s="27">
        <v>3</v>
      </c>
      <c r="S50" s="27">
        <v>3</v>
      </c>
      <c r="T50" s="27">
        <v>3</v>
      </c>
      <c r="U50" s="27">
        <v>3</v>
      </c>
      <c r="V50" s="27">
        <v>3</v>
      </c>
      <c r="W50" s="22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t="14.25" customHeight="1">
      <c r="A51" s="65"/>
      <c r="B51" s="65"/>
      <c r="C51" s="59" t="s">
        <v>63</v>
      </c>
      <c r="D51" s="58"/>
      <c r="E51" s="57" t="s">
        <v>39</v>
      </c>
      <c r="F51" s="58"/>
      <c r="G51" s="27">
        <v>8</v>
      </c>
      <c r="H51" s="27">
        <v>8</v>
      </c>
      <c r="I51" s="27">
        <v>8</v>
      </c>
      <c r="J51" s="27">
        <v>8</v>
      </c>
      <c r="K51" s="27">
        <v>8</v>
      </c>
      <c r="L51" s="27">
        <v>8</v>
      </c>
      <c r="M51" s="27">
        <v>8</v>
      </c>
      <c r="N51" s="27">
        <v>8</v>
      </c>
      <c r="O51" s="27">
        <v>8</v>
      </c>
      <c r="P51" s="27">
        <v>8</v>
      </c>
      <c r="Q51" s="27">
        <v>8</v>
      </c>
      <c r="R51" s="27">
        <v>8</v>
      </c>
      <c r="S51" s="27">
        <v>8</v>
      </c>
      <c r="T51" s="27">
        <v>8</v>
      </c>
      <c r="U51" s="27">
        <v>8</v>
      </c>
      <c r="V51" s="27">
        <v>8</v>
      </c>
      <c r="W51" s="22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14.25" customHeight="1">
      <c r="A52" s="65"/>
      <c r="B52" s="65"/>
      <c r="C52" s="59" t="s">
        <v>64</v>
      </c>
      <c r="D52" s="58"/>
      <c r="E52" s="57" t="s">
        <v>30</v>
      </c>
      <c r="F52" s="58"/>
      <c r="G52" s="27">
        <v>8</v>
      </c>
      <c r="H52" s="27">
        <v>8</v>
      </c>
      <c r="I52" s="27">
        <v>8</v>
      </c>
      <c r="J52" s="27">
        <v>8</v>
      </c>
      <c r="K52" s="27">
        <v>8</v>
      </c>
      <c r="L52" s="27">
        <v>8</v>
      </c>
      <c r="M52" s="27">
        <v>8</v>
      </c>
      <c r="N52" s="27">
        <v>8</v>
      </c>
      <c r="O52" s="27">
        <v>8</v>
      </c>
      <c r="P52" s="27">
        <v>8</v>
      </c>
      <c r="Q52" s="27">
        <v>8</v>
      </c>
      <c r="R52" s="27">
        <v>8</v>
      </c>
      <c r="S52" s="27">
        <v>8</v>
      </c>
      <c r="T52" s="27">
        <v>8</v>
      </c>
      <c r="U52" s="27">
        <v>8</v>
      </c>
      <c r="V52" s="27">
        <v>8</v>
      </c>
      <c r="W52" s="22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14.25" customHeight="1">
      <c r="A53" s="65"/>
      <c r="B53" s="65"/>
      <c r="C53" s="59" t="s">
        <v>65</v>
      </c>
      <c r="D53" s="58"/>
      <c r="E53" s="57" t="s">
        <v>28</v>
      </c>
      <c r="F53" s="58"/>
      <c r="G53" s="27">
        <v>6</v>
      </c>
      <c r="H53" s="27">
        <v>6</v>
      </c>
      <c r="I53" s="27">
        <v>6</v>
      </c>
      <c r="J53" s="27">
        <v>6</v>
      </c>
      <c r="K53" s="27">
        <v>6</v>
      </c>
      <c r="L53" s="27">
        <v>6</v>
      </c>
      <c r="M53" s="27">
        <v>6</v>
      </c>
      <c r="N53" s="27">
        <v>6</v>
      </c>
      <c r="O53" s="27">
        <v>6</v>
      </c>
      <c r="P53" s="27">
        <v>6</v>
      </c>
      <c r="Q53" s="27">
        <v>6</v>
      </c>
      <c r="R53" s="27">
        <v>6</v>
      </c>
      <c r="S53" s="27">
        <v>6</v>
      </c>
      <c r="T53" s="27">
        <v>6</v>
      </c>
      <c r="U53" s="27">
        <v>6</v>
      </c>
      <c r="V53" s="27">
        <v>6</v>
      </c>
      <c r="W53" s="22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t="14.25" customHeight="1">
      <c r="A54" s="65"/>
      <c r="B54" s="65"/>
      <c r="C54" s="59" t="s">
        <v>66</v>
      </c>
      <c r="D54" s="58"/>
      <c r="E54" s="57" t="s">
        <v>37</v>
      </c>
      <c r="F54" s="58"/>
      <c r="G54" s="27">
        <v>6</v>
      </c>
      <c r="H54" s="27">
        <v>8</v>
      </c>
      <c r="I54" s="27">
        <v>8</v>
      </c>
      <c r="J54" s="27">
        <v>8</v>
      </c>
      <c r="K54" s="27">
        <v>8</v>
      </c>
      <c r="L54" s="27">
        <v>8</v>
      </c>
      <c r="M54" s="27">
        <v>8</v>
      </c>
      <c r="N54" s="27">
        <v>8</v>
      </c>
      <c r="O54" s="27">
        <v>8</v>
      </c>
      <c r="P54" s="27">
        <v>8</v>
      </c>
      <c r="Q54" s="27">
        <v>8</v>
      </c>
      <c r="R54" s="27">
        <v>8</v>
      </c>
      <c r="S54" s="27">
        <v>8</v>
      </c>
      <c r="T54" s="27">
        <v>8</v>
      </c>
      <c r="U54" s="27">
        <v>8</v>
      </c>
      <c r="V54" s="27">
        <v>8</v>
      </c>
      <c r="W54" s="22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t="14.25" customHeight="1">
      <c r="A55" s="65"/>
      <c r="B55" s="65"/>
      <c r="C55" s="69"/>
      <c r="D55" s="94"/>
      <c r="E55" s="57"/>
      <c r="F55" s="95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8">
        <v>-2</v>
      </c>
      <c r="X55" s="23"/>
      <c r="Y55" s="23"/>
      <c r="Z55" s="23"/>
      <c r="AA55" s="23"/>
      <c r="AB55" s="23"/>
      <c r="AC55" s="23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t="14.25" customHeight="1">
      <c r="A56" s="65"/>
      <c r="B56" s="65"/>
      <c r="C56" s="59" t="s">
        <v>67</v>
      </c>
      <c r="D56" s="58"/>
      <c r="E56" s="57" t="s">
        <v>42</v>
      </c>
      <c r="F56" s="58"/>
      <c r="G56" s="27">
        <v>6</v>
      </c>
      <c r="H56" s="27">
        <v>6</v>
      </c>
      <c r="I56" s="27">
        <v>6</v>
      </c>
      <c r="J56" s="27">
        <v>6</v>
      </c>
      <c r="K56" s="27">
        <v>6</v>
      </c>
      <c r="L56" s="27">
        <v>6</v>
      </c>
      <c r="M56" s="27">
        <v>6</v>
      </c>
      <c r="N56" s="27">
        <v>6</v>
      </c>
      <c r="O56" s="27">
        <v>6</v>
      </c>
      <c r="P56" s="27">
        <v>6</v>
      </c>
      <c r="Q56" s="27">
        <v>6</v>
      </c>
      <c r="R56" s="27">
        <v>6</v>
      </c>
      <c r="S56" s="27">
        <v>6</v>
      </c>
      <c r="T56" s="27">
        <v>6</v>
      </c>
      <c r="U56" s="27">
        <v>6</v>
      </c>
      <c r="V56" s="27">
        <v>6</v>
      </c>
      <c r="W56" s="22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t="14.25" customHeight="1">
      <c r="A57" s="65"/>
      <c r="B57" s="65"/>
      <c r="C57" s="59" t="s">
        <v>68</v>
      </c>
      <c r="D57" s="58"/>
      <c r="E57" s="57" t="s">
        <v>39</v>
      </c>
      <c r="F57" s="58"/>
      <c r="G57" s="34">
        <v>4</v>
      </c>
      <c r="H57" s="34">
        <v>4</v>
      </c>
      <c r="I57" s="34">
        <v>4</v>
      </c>
      <c r="J57" s="34">
        <v>4</v>
      </c>
      <c r="K57" s="34">
        <v>4</v>
      </c>
      <c r="L57" s="34">
        <v>4</v>
      </c>
      <c r="M57" s="34">
        <v>4</v>
      </c>
      <c r="N57" s="34">
        <v>4</v>
      </c>
      <c r="O57" s="34">
        <v>4</v>
      </c>
      <c r="P57" s="34">
        <v>4</v>
      </c>
      <c r="Q57" s="34">
        <v>4</v>
      </c>
      <c r="R57" s="34">
        <v>4</v>
      </c>
      <c r="S57" s="34">
        <v>4</v>
      </c>
      <c r="T57" s="34">
        <v>4</v>
      </c>
      <c r="U57" s="34">
        <v>4</v>
      </c>
      <c r="V57" s="34">
        <v>4</v>
      </c>
      <c r="W57" s="22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4.25" customHeight="1">
      <c r="A58" s="65"/>
      <c r="B58" s="65"/>
      <c r="C58" s="59" t="s">
        <v>69</v>
      </c>
      <c r="D58" s="58"/>
      <c r="E58" s="57" t="s">
        <v>30</v>
      </c>
      <c r="F58" s="58"/>
      <c r="G58" s="27">
        <v>6</v>
      </c>
      <c r="H58" s="27">
        <v>6</v>
      </c>
      <c r="I58" s="27">
        <v>6</v>
      </c>
      <c r="J58" s="27">
        <v>6</v>
      </c>
      <c r="K58" s="27">
        <v>6</v>
      </c>
      <c r="L58" s="27">
        <v>6</v>
      </c>
      <c r="M58" s="27">
        <v>6</v>
      </c>
      <c r="N58" s="27">
        <v>6</v>
      </c>
      <c r="O58" s="27">
        <v>6</v>
      </c>
      <c r="P58" s="27">
        <v>6</v>
      </c>
      <c r="Q58" s="27">
        <v>6</v>
      </c>
      <c r="R58" s="27">
        <v>6</v>
      </c>
      <c r="S58" s="27">
        <v>6</v>
      </c>
      <c r="T58" s="27">
        <v>6</v>
      </c>
      <c r="U58" s="27">
        <v>6</v>
      </c>
      <c r="V58" s="27">
        <v>6</v>
      </c>
      <c r="W58" s="22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14.25" customHeight="1">
      <c r="A59" s="65"/>
      <c r="B59" s="65"/>
      <c r="C59" s="59" t="s">
        <v>70</v>
      </c>
      <c r="D59" s="58"/>
      <c r="E59" s="57" t="s">
        <v>28</v>
      </c>
      <c r="F59" s="58"/>
      <c r="G59" s="27">
        <v>4</v>
      </c>
      <c r="H59" s="27">
        <v>4</v>
      </c>
      <c r="I59" s="27">
        <v>4</v>
      </c>
      <c r="J59" s="27">
        <v>4</v>
      </c>
      <c r="K59" s="27">
        <v>4</v>
      </c>
      <c r="L59" s="27">
        <v>4</v>
      </c>
      <c r="M59" s="27">
        <v>4</v>
      </c>
      <c r="N59" s="27">
        <v>4</v>
      </c>
      <c r="O59" s="27">
        <v>4</v>
      </c>
      <c r="P59" s="27">
        <v>4</v>
      </c>
      <c r="Q59" s="27">
        <v>4</v>
      </c>
      <c r="R59" s="27">
        <v>4</v>
      </c>
      <c r="S59" s="27">
        <v>4</v>
      </c>
      <c r="T59" s="27">
        <v>4</v>
      </c>
      <c r="U59" s="27">
        <v>4</v>
      </c>
      <c r="V59" s="27">
        <v>4</v>
      </c>
      <c r="W59" s="22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14.25" customHeight="1">
      <c r="A60" s="65"/>
      <c r="B60" s="65"/>
      <c r="C60" s="59" t="s">
        <v>71</v>
      </c>
      <c r="D60" s="58"/>
      <c r="E60" s="57" t="s">
        <v>37</v>
      </c>
      <c r="F60" s="58"/>
      <c r="G60" s="27">
        <v>8</v>
      </c>
      <c r="H60" s="27">
        <v>8</v>
      </c>
      <c r="I60" s="27">
        <v>8</v>
      </c>
      <c r="J60" s="27">
        <v>8</v>
      </c>
      <c r="K60" s="27">
        <v>8</v>
      </c>
      <c r="L60" s="27">
        <v>8</v>
      </c>
      <c r="M60" s="27">
        <v>8</v>
      </c>
      <c r="N60" s="27">
        <v>8</v>
      </c>
      <c r="O60" s="27">
        <v>8</v>
      </c>
      <c r="P60" s="27">
        <v>8</v>
      </c>
      <c r="Q60" s="27">
        <v>8</v>
      </c>
      <c r="R60" s="27">
        <v>8</v>
      </c>
      <c r="S60" s="27">
        <v>8</v>
      </c>
      <c r="T60" s="27">
        <v>8</v>
      </c>
      <c r="U60" s="27">
        <v>8</v>
      </c>
      <c r="V60" s="27">
        <v>8</v>
      </c>
      <c r="W60" s="22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14.25" customHeight="1">
      <c r="A61" s="65"/>
      <c r="B61" s="66"/>
      <c r="C61" s="59" t="s">
        <v>72</v>
      </c>
      <c r="D61" s="58"/>
      <c r="E61" s="57" t="s">
        <v>26</v>
      </c>
      <c r="F61" s="58"/>
      <c r="G61" s="27">
        <v>22</v>
      </c>
      <c r="H61" s="27">
        <v>20</v>
      </c>
      <c r="I61" s="27">
        <v>20</v>
      </c>
      <c r="J61" s="27">
        <v>20</v>
      </c>
      <c r="K61" s="27">
        <v>20</v>
      </c>
      <c r="L61" s="27">
        <v>20</v>
      </c>
      <c r="M61" s="27">
        <v>20</v>
      </c>
      <c r="N61" s="27">
        <v>20</v>
      </c>
      <c r="O61" s="27">
        <v>20</v>
      </c>
      <c r="P61" s="27">
        <v>20</v>
      </c>
      <c r="Q61" s="27">
        <v>20</v>
      </c>
      <c r="R61" s="27">
        <v>20</v>
      </c>
      <c r="S61" s="27">
        <v>20</v>
      </c>
      <c r="T61" s="27">
        <v>20</v>
      </c>
      <c r="U61" s="27">
        <v>20</v>
      </c>
      <c r="V61" s="27">
        <v>20</v>
      </c>
      <c r="W61" s="27">
        <v>20</v>
      </c>
      <c r="X61" s="27">
        <v>20</v>
      </c>
      <c r="Y61" s="22">
        <v>0</v>
      </c>
      <c r="Z61" s="23">
        <v>0</v>
      </c>
      <c r="AA61" s="23">
        <v>0</v>
      </c>
      <c r="AB61" s="23">
        <v>0</v>
      </c>
      <c r="AC61" s="23"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14.25" customHeight="1">
      <c r="A62" s="65"/>
      <c r="B62" s="33"/>
      <c r="C62" s="69"/>
      <c r="D62" s="94"/>
      <c r="E62" s="57"/>
      <c r="F62" s="95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3"/>
      <c r="W62" s="21"/>
      <c r="X62" s="21"/>
      <c r="Y62" s="31">
        <v>2</v>
      </c>
      <c r="Z62" s="23"/>
      <c r="AA62" s="23"/>
      <c r="AB62" s="23"/>
      <c r="AC62" s="23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14.25" customHeight="1">
      <c r="A63" s="65"/>
      <c r="B63" s="64" t="s">
        <v>73</v>
      </c>
      <c r="C63" s="59" t="s">
        <v>74</v>
      </c>
      <c r="D63" s="58"/>
      <c r="E63" s="57" t="s">
        <v>42</v>
      </c>
      <c r="F63" s="58"/>
      <c r="G63" s="26">
        <v>3</v>
      </c>
      <c r="H63" s="26">
        <v>3</v>
      </c>
      <c r="I63" s="26">
        <v>3</v>
      </c>
      <c r="J63" s="26">
        <v>3</v>
      </c>
      <c r="K63" s="26">
        <v>3</v>
      </c>
      <c r="L63" s="26">
        <v>3</v>
      </c>
      <c r="M63" s="26">
        <v>3</v>
      </c>
      <c r="N63" s="26">
        <v>3</v>
      </c>
      <c r="O63" s="26">
        <v>3</v>
      </c>
      <c r="P63" s="26">
        <v>3</v>
      </c>
      <c r="Q63" s="26">
        <v>3</v>
      </c>
      <c r="R63" s="26">
        <v>3</v>
      </c>
      <c r="S63" s="26">
        <v>3</v>
      </c>
      <c r="T63" s="26">
        <v>3</v>
      </c>
      <c r="U63" s="26">
        <v>3</v>
      </c>
      <c r="V63" s="26">
        <v>3</v>
      </c>
      <c r="W63" s="26">
        <v>3</v>
      </c>
      <c r="X63" s="26">
        <v>3</v>
      </c>
      <c r="Y63" s="26">
        <v>3</v>
      </c>
      <c r="Z63" s="22">
        <v>0</v>
      </c>
      <c r="AA63" s="23">
        <v>0</v>
      </c>
      <c r="AB63" s="23">
        <v>0</v>
      </c>
      <c r="AC63" s="23"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14.25" customHeight="1">
      <c r="A64" s="65"/>
      <c r="B64" s="65"/>
      <c r="C64" s="59" t="s">
        <v>75</v>
      </c>
      <c r="D64" s="58"/>
      <c r="E64" s="57" t="s">
        <v>39</v>
      </c>
      <c r="F64" s="58"/>
      <c r="G64" s="27">
        <v>3</v>
      </c>
      <c r="H64" s="27">
        <v>3</v>
      </c>
      <c r="I64" s="27">
        <v>3</v>
      </c>
      <c r="J64" s="27">
        <v>3</v>
      </c>
      <c r="K64" s="27">
        <v>3</v>
      </c>
      <c r="L64" s="27">
        <v>3</v>
      </c>
      <c r="M64" s="27">
        <v>3</v>
      </c>
      <c r="N64" s="27">
        <v>3</v>
      </c>
      <c r="O64" s="27">
        <v>3</v>
      </c>
      <c r="P64" s="27">
        <v>3</v>
      </c>
      <c r="Q64" s="27">
        <v>3</v>
      </c>
      <c r="R64" s="27">
        <v>3</v>
      </c>
      <c r="S64" s="27">
        <v>3</v>
      </c>
      <c r="T64" s="27">
        <v>3</v>
      </c>
      <c r="U64" s="27">
        <v>3</v>
      </c>
      <c r="V64" s="27">
        <v>3</v>
      </c>
      <c r="W64" s="27">
        <v>3</v>
      </c>
      <c r="X64" s="27">
        <v>3</v>
      </c>
      <c r="Y64" s="27">
        <v>3</v>
      </c>
      <c r="Z64" s="22">
        <v>0</v>
      </c>
      <c r="AA64" s="23">
        <v>0</v>
      </c>
      <c r="AB64" s="23">
        <v>0</v>
      </c>
      <c r="AC64" s="23"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14.25" customHeight="1">
      <c r="A65" s="65"/>
      <c r="B65" s="65"/>
      <c r="C65" s="59" t="s">
        <v>76</v>
      </c>
      <c r="D65" s="58"/>
      <c r="E65" s="57" t="s">
        <v>30</v>
      </c>
      <c r="F65" s="58"/>
      <c r="G65" s="27">
        <v>6</v>
      </c>
      <c r="H65" s="27">
        <v>4</v>
      </c>
      <c r="I65" s="27">
        <v>4</v>
      </c>
      <c r="J65" s="27">
        <v>4</v>
      </c>
      <c r="K65" s="27">
        <v>4</v>
      </c>
      <c r="L65" s="27">
        <v>4</v>
      </c>
      <c r="M65" s="27">
        <v>4</v>
      </c>
      <c r="N65" s="27">
        <v>4</v>
      </c>
      <c r="O65" s="27">
        <v>4</v>
      </c>
      <c r="P65" s="27">
        <v>4</v>
      </c>
      <c r="Q65" s="27">
        <v>4</v>
      </c>
      <c r="R65" s="27">
        <v>4</v>
      </c>
      <c r="S65" s="27">
        <v>4</v>
      </c>
      <c r="T65" s="27">
        <v>4</v>
      </c>
      <c r="U65" s="27">
        <v>4</v>
      </c>
      <c r="V65" s="27">
        <v>4</v>
      </c>
      <c r="W65" s="27">
        <v>4</v>
      </c>
      <c r="X65" s="27">
        <v>4</v>
      </c>
      <c r="Y65" s="27">
        <v>4</v>
      </c>
      <c r="Z65" s="22">
        <v>0</v>
      </c>
      <c r="AA65" s="23">
        <v>0</v>
      </c>
      <c r="AB65" s="23">
        <v>0</v>
      </c>
      <c r="AC65" s="23"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14.25" customHeight="1">
      <c r="A66" s="65"/>
      <c r="B66" s="65"/>
      <c r="C66" s="69"/>
      <c r="D66" s="94"/>
      <c r="E66" s="57"/>
      <c r="F66" s="95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3"/>
      <c r="Z66" s="31">
        <v>2</v>
      </c>
      <c r="AA66" s="23"/>
      <c r="AB66" s="23"/>
      <c r="AC66" s="23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14.25" customHeight="1">
      <c r="A67" s="65"/>
      <c r="B67" s="65"/>
      <c r="C67" s="59" t="s">
        <v>77</v>
      </c>
      <c r="D67" s="58"/>
      <c r="E67" s="57" t="s">
        <v>28</v>
      </c>
      <c r="F67" s="58"/>
      <c r="G67" s="27">
        <v>3</v>
      </c>
      <c r="H67" s="27">
        <v>3</v>
      </c>
      <c r="I67" s="27">
        <v>3</v>
      </c>
      <c r="J67" s="27">
        <v>3</v>
      </c>
      <c r="K67" s="27">
        <v>3</v>
      </c>
      <c r="L67" s="27">
        <v>3</v>
      </c>
      <c r="M67" s="27">
        <v>3</v>
      </c>
      <c r="N67" s="27">
        <v>3</v>
      </c>
      <c r="O67" s="27">
        <v>3</v>
      </c>
      <c r="P67" s="27">
        <v>3</v>
      </c>
      <c r="Q67" s="27">
        <v>3</v>
      </c>
      <c r="R67" s="27">
        <v>3</v>
      </c>
      <c r="S67" s="27">
        <v>3</v>
      </c>
      <c r="T67" s="27">
        <v>3</v>
      </c>
      <c r="U67" s="27">
        <v>3</v>
      </c>
      <c r="V67" s="27">
        <v>3</v>
      </c>
      <c r="W67" s="27">
        <v>3</v>
      </c>
      <c r="X67" s="27">
        <v>3</v>
      </c>
      <c r="Y67" s="27">
        <v>3</v>
      </c>
      <c r="Z67" s="22">
        <v>0</v>
      </c>
      <c r="AA67" s="23">
        <v>0</v>
      </c>
      <c r="AB67" s="23">
        <v>0</v>
      </c>
      <c r="AC67" s="23"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4.25" customHeight="1">
      <c r="A68" s="65"/>
      <c r="B68" s="65"/>
      <c r="C68" s="69"/>
      <c r="D68" s="94"/>
      <c r="E68" s="57"/>
      <c r="F68" s="95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3"/>
      <c r="Z68" s="22"/>
      <c r="AA68" s="23"/>
      <c r="AB68" s="23"/>
      <c r="AC68" s="23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14.25" customHeight="1">
      <c r="A69" s="65"/>
      <c r="B69" s="65"/>
      <c r="C69" s="59" t="s">
        <v>78</v>
      </c>
      <c r="D69" s="58"/>
      <c r="E69" s="57" t="s">
        <v>37</v>
      </c>
      <c r="F69" s="58"/>
      <c r="G69" s="34">
        <v>4</v>
      </c>
      <c r="H69" s="34">
        <v>4</v>
      </c>
      <c r="I69" s="34">
        <v>4</v>
      </c>
      <c r="J69" s="34">
        <v>4</v>
      </c>
      <c r="K69" s="34">
        <v>4</v>
      </c>
      <c r="L69" s="34">
        <v>4</v>
      </c>
      <c r="M69" s="34">
        <v>4</v>
      </c>
      <c r="N69" s="34">
        <v>4</v>
      </c>
      <c r="O69" s="34">
        <v>4</v>
      </c>
      <c r="P69" s="34">
        <v>4</v>
      </c>
      <c r="Q69" s="34">
        <v>4</v>
      </c>
      <c r="R69" s="34">
        <v>4</v>
      </c>
      <c r="S69" s="34">
        <v>4</v>
      </c>
      <c r="T69" s="34">
        <v>4</v>
      </c>
      <c r="U69" s="34">
        <v>4</v>
      </c>
      <c r="V69" s="34">
        <v>4</v>
      </c>
      <c r="W69" s="34">
        <v>4</v>
      </c>
      <c r="X69" s="34">
        <v>4</v>
      </c>
      <c r="Y69" s="34">
        <v>2</v>
      </c>
      <c r="Z69" s="22">
        <v>0</v>
      </c>
      <c r="AA69" s="23">
        <v>0</v>
      </c>
      <c r="AB69" s="23">
        <v>0</v>
      </c>
      <c r="AC69" s="23"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14.25" customHeight="1">
      <c r="A70" s="65"/>
      <c r="B70" s="66"/>
      <c r="C70" s="59" t="s">
        <v>79</v>
      </c>
      <c r="D70" s="58"/>
      <c r="E70" s="57" t="s">
        <v>26</v>
      </c>
      <c r="F70" s="58"/>
      <c r="G70" s="27">
        <v>3</v>
      </c>
      <c r="H70" s="27">
        <v>3</v>
      </c>
      <c r="I70" s="27">
        <v>3</v>
      </c>
      <c r="J70" s="27">
        <v>3</v>
      </c>
      <c r="K70" s="27">
        <v>3</v>
      </c>
      <c r="L70" s="27">
        <v>3</v>
      </c>
      <c r="M70" s="27">
        <v>3</v>
      </c>
      <c r="N70" s="27">
        <v>3</v>
      </c>
      <c r="O70" s="27">
        <v>3</v>
      </c>
      <c r="P70" s="27">
        <v>3</v>
      </c>
      <c r="Q70" s="27">
        <v>3</v>
      </c>
      <c r="R70" s="27">
        <v>3</v>
      </c>
      <c r="S70" s="27">
        <v>3</v>
      </c>
      <c r="T70" s="27">
        <v>3</v>
      </c>
      <c r="U70" s="27">
        <v>3</v>
      </c>
      <c r="V70" s="27">
        <v>3</v>
      </c>
      <c r="W70" s="27">
        <v>3</v>
      </c>
      <c r="X70" s="27">
        <v>3</v>
      </c>
      <c r="Y70" s="27">
        <v>3</v>
      </c>
      <c r="Z70" s="22">
        <v>0</v>
      </c>
      <c r="AA70" s="23">
        <v>0</v>
      </c>
      <c r="AB70" s="23">
        <v>0</v>
      </c>
      <c r="AC70" s="23">
        <v>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14.25" customHeight="1">
      <c r="A71" s="65"/>
      <c r="B71" s="64" t="s">
        <v>80</v>
      </c>
      <c r="C71" s="59" t="s">
        <v>81</v>
      </c>
      <c r="D71" s="58"/>
      <c r="E71" s="57" t="s">
        <v>42</v>
      </c>
      <c r="F71" s="58"/>
      <c r="G71" s="26">
        <v>3</v>
      </c>
      <c r="H71" s="26">
        <v>3</v>
      </c>
      <c r="I71" s="26">
        <v>3</v>
      </c>
      <c r="J71" s="26">
        <v>3</v>
      </c>
      <c r="K71" s="26">
        <v>3</v>
      </c>
      <c r="L71" s="26">
        <v>3</v>
      </c>
      <c r="M71" s="26">
        <v>3</v>
      </c>
      <c r="N71" s="26">
        <v>3</v>
      </c>
      <c r="O71" s="26">
        <v>3</v>
      </c>
      <c r="P71" s="26">
        <v>3</v>
      </c>
      <c r="Q71" s="26">
        <v>3</v>
      </c>
      <c r="R71" s="26">
        <v>3</v>
      </c>
      <c r="S71" s="26">
        <v>3</v>
      </c>
      <c r="T71" s="26">
        <v>3</v>
      </c>
      <c r="U71" s="26">
        <v>3</v>
      </c>
      <c r="V71" s="26">
        <v>3</v>
      </c>
      <c r="W71" s="26">
        <v>3</v>
      </c>
      <c r="X71" s="26">
        <v>3</v>
      </c>
      <c r="Y71" s="26">
        <v>3</v>
      </c>
      <c r="Z71" s="26">
        <v>3</v>
      </c>
      <c r="AA71" s="26">
        <v>3</v>
      </c>
      <c r="AB71" s="22">
        <v>0</v>
      </c>
      <c r="AC71" s="23"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14.25" customHeight="1">
      <c r="A72" s="65"/>
      <c r="B72" s="65"/>
      <c r="C72" s="59" t="s">
        <v>82</v>
      </c>
      <c r="D72" s="58"/>
      <c r="E72" s="57" t="s">
        <v>39</v>
      </c>
      <c r="F72" s="58"/>
      <c r="G72" s="27">
        <v>3</v>
      </c>
      <c r="H72" s="27">
        <v>3</v>
      </c>
      <c r="I72" s="27">
        <v>3</v>
      </c>
      <c r="J72" s="27">
        <v>3</v>
      </c>
      <c r="K72" s="27">
        <v>3</v>
      </c>
      <c r="L72" s="27">
        <v>3</v>
      </c>
      <c r="M72" s="27">
        <v>3</v>
      </c>
      <c r="N72" s="27">
        <v>3</v>
      </c>
      <c r="O72" s="27">
        <v>3</v>
      </c>
      <c r="P72" s="27">
        <v>3</v>
      </c>
      <c r="Q72" s="27">
        <v>3</v>
      </c>
      <c r="R72" s="27">
        <v>3</v>
      </c>
      <c r="S72" s="27">
        <v>3</v>
      </c>
      <c r="T72" s="27">
        <v>3</v>
      </c>
      <c r="U72" s="27">
        <v>3</v>
      </c>
      <c r="V72" s="27">
        <v>3</v>
      </c>
      <c r="W72" s="27">
        <v>3</v>
      </c>
      <c r="X72" s="27">
        <v>3</v>
      </c>
      <c r="Y72" s="27">
        <v>3</v>
      </c>
      <c r="Z72" s="27">
        <v>3</v>
      </c>
      <c r="AA72" s="27">
        <v>3</v>
      </c>
      <c r="AB72" s="22">
        <v>0</v>
      </c>
      <c r="AC72" s="23">
        <v>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14.25" customHeight="1">
      <c r="A73" s="65"/>
      <c r="B73" s="65"/>
      <c r="C73" s="59" t="s">
        <v>83</v>
      </c>
      <c r="D73" s="58"/>
      <c r="E73" s="57" t="s">
        <v>30</v>
      </c>
      <c r="F73" s="58"/>
      <c r="G73" s="27">
        <v>4</v>
      </c>
      <c r="H73" s="27">
        <v>4</v>
      </c>
      <c r="I73" s="27">
        <v>4</v>
      </c>
      <c r="J73" s="27">
        <v>4</v>
      </c>
      <c r="K73" s="27">
        <v>4</v>
      </c>
      <c r="L73" s="27">
        <v>4</v>
      </c>
      <c r="M73" s="27">
        <v>4</v>
      </c>
      <c r="N73" s="27">
        <v>4</v>
      </c>
      <c r="O73" s="27">
        <v>4</v>
      </c>
      <c r="P73" s="27">
        <v>4</v>
      </c>
      <c r="Q73" s="27">
        <v>4</v>
      </c>
      <c r="R73" s="27">
        <v>4</v>
      </c>
      <c r="S73" s="27">
        <v>4</v>
      </c>
      <c r="T73" s="27">
        <v>4</v>
      </c>
      <c r="U73" s="27">
        <v>4</v>
      </c>
      <c r="V73" s="27">
        <v>4</v>
      </c>
      <c r="W73" s="27">
        <v>4</v>
      </c>
      <c r="X73" s="27">
        <v>4</v>
      </c>
      <c r="Y73" s="27">
        <v>4</v>
      </c>
      <c r="Z73" s="27">
        <v>4</v>
      </c>
      <c r="AA73" s="27">
        <v>4</v>
      </c>
      <c r="AB73" s="22">
        <v>0</v>
      </c>
      <c r="AC73" s="23"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14.25" customHeight="1">
      <c r="A74" s="65"/>
      <c r="B74" s="65"/>
      <c r="C74" s="59" t="s">
        <v>84</v>
      </c>
      <c r="D74" s="58"/>
      <c r="E74" s="57" t="s">
        <v>28</v>
      </c>
      <c r="F74" s="58"/>
      <c r="G74" s="34">
        <v>3</v>
      </c>
      <c r="H74" s="34">
        <v>3</v>
      </c>
      <c r="I74" s="34">
        <v>3</v>
      </c>
      <c r="J74" s="34">
        <v>3</v>
      </c>
      <c r="K74" s="34">
        <v>3</v>
      </c>
      <c r="L74" s="34">
        <v>3</v>
      </c>
      <c r="M74" s="34">
        <v>3</v>
      </c>
      <c r="N74" s="34">
        <v>3</v>
      </c>
      <c r="O74" s="34">
        <v>3</v>
      </c>
      <c r="P74" s="34">
        <v>3</v>
      </c>
      <c r="Q74" s="34">
        <v>3</v>
      </c>
      <c r="R74" s="34">
        <v>3</v>
      </c>
      <c r="S74" s="34">
        <v>3</v>
      </c>
      <c r="T74" s="34">
        <v>3</v>
      </c>
      <c r="U74" s="34">
        <v>3</v>
      </c>
      <c r="V74" s="34">
        <v>3</v>
      </c>
      <c r="W74" s="34">
        <v>3</v>
      </c>
      <c r="X74" s="34">
        <v>3</v>
      </c>
      <c r="Y74" s="34">
        <v>3</v>
      </c>
      <c r="Z74" s="34">
        <v>3</v>
      </c>
      <c r="AA74" s="34">
        <v>3</v>
      </c>
      <c r="AB74" s="22">
        <v>0</v>
      </c>
      <c r="AC74" s="23"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4.25" customHeight="1">
      <c r="A75" s="65"/>
      <c r="B75" s="65"/>
      <c r="C75" s="59" t="s">
        <v>85</v>
      </c>
      <c r="D75" s="58"/>
      <c r="E75" s="57" t="s">
        <v>37</v>
      </c>
      <c r="F75" s="58"/>
      <c r="G75" s="27">
        <v>2</v>
      </c>
      <c r="H75" s="27">
        <v>4</v>
      </c>
      <c r="I75" s="27">
        <v>4</v>
      </c>
      <c r="J75" s="27">
        <v>4</v>
      </c>
      <c r="K75" s="27">
        <v>4</v>
      </c>
      <c r="L75" s="27">
        <v>4</v>
      </c>
      <c r="M75" s="27">
        <v>4</v>
      </c>
      <c r="N75" s="27">
        <v>4</v>
      </c>
      <c r="O75" s="27">
        <v>4</v>
      </c>
      <c r="P75" s="27">
        <v>4</v>
      </c>
      <c r="Q75" s="27">
        <v>4</v>
      </c>
      <c r="R75" s="27">
        <v>4</v>
      </c>
      <c r="S75" s="27">
        <v>4</v>
      </c>
      <c r="T75" s="27">
        <v>4</v>
      </c>
      <c r="U75" s="27">
        <v>4</v>
      </c>
      <c r="V75" s="27">
        <v>4</v>
      </c>
      <c r="W75" s="27">
        <v>4</v>
      </c>
      <c r="X75" s="27">
        <v>4</v>
      </c>
      <c r="Y75" s="27">
        <v>4</v>
      </c>
      <c r="Z75" s="27">
        <v>4</v>
      </c>
      <c r="AA75" s="27">
        <v>4</v>
      </c>
      <c r="AB75" s="22">
        <v>0</v>
      </c>
      <c r="AC75" s="23">
        <v>0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4.25" customHeight="1">
      <c r="A76" s="65"/>
      <c r="B76" s="65"/>
      <c r="C76" s="57"/>
      <c r="D76" s="95"/>
      <c r="E76" s="57"/>
      <c r="F76" s="95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8">
        <v>-2</v>
      </c>
      <c r="AC76" s="23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4.25" customHeight="1">
      <c r="A77" s="65"/>
      <c r="B77" s="65"/>
      <c r="C77" s="59" t="s">
        <v>86</v>
      </c>
      <c r="D77" s="58"/>
      <c r="E77" s="57" t="s">
        <v>26</v>
      </c>
      <c r="F77" s="58"/>
      <c r="G77" s="27">
        <v>4</v>
      </c>
      <c r="H77" s="27">
        <v>4</v>
      </c>
      <c r="I77" s="27">
        <v>4</v>
      </c>
      <c r="J77" s="27">
        <v>4</v>
      </c>
      <c r="K77" s="27">
        <v>4</v>
      </c>
      <c r="L77" s="27">
        <v>4</v>
      </c>
      <c r="M77" s="27">
        <v>4</v>
      </c>
      <c r="N77" s="27">
        <v>4</v>
      </c>
      <c r="O77" s="27">
        <v>4</v>
      </c>
      <c r="P77" s="27">
        <v>4</v>
      </c>
      <c r="Q77" s="27">
        <v>4</v>
      </c>
      <c r="R77" s="27">
        <v>4</v>
      </c>
      <c r="S77" s="27">
        <v>4</v>
      </c>
      <c r="T77" s="27">
        <v>4</v>
      </c>
      <c r="U77" s="27">
        <v>4</v>
      </c>
      <c r="V77" s="27">
        <v>4</v>
      </c>
      <c r="W77" s="27">
        <v>4</v>
      </c>
      <c r="X77" s="27">
        <v>4</v>
      </c>
      <c r="Y77" s="27">
        <v>4</v>
      </c>
      <c r="Z77" s="27">
        <v>4</v>
      </c>
      <c r="AA77" s="27">
        <v>4</v>
      </c>
      <c r="AB77" s="22">
        <v>0</v>
      </c>
      <c r="AC77" s="23"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4.25" customHeight="1">
      <c r="A78" s="65"/>
      <c r="B78" s="66"/>
      <c r="C78" s="59" t="s">
        <v>87</v>
      </c>
      <c r="D78" s="58"/>
      <c r="E78" s="57" t="s">
        <v>26</v>
      </c>
      <c r="F78" s="58"/>
      <c r="G78" s="27">
        <v>5</v>
      </c>
      <c r="H78" s="27">
        <v>3</v>
      </c>
      <c r="I78" s="27">
        <v>3</v>
      </c>
      <c r="J78" s="27">
        <v>3</v>
      </c>
      <c r="K78" s="27">
        <v>3</v>
      </c>
      <c r="L78" s="27">
        <v>3</v>
      </c>
      <c r="M78" s="27">
        <v>3</v>
      </c>
      <c r="N78" s="27">
        <v>3</v>
      </c>
      <c r="O78" s="27">
        <v>3</v>
      </c>
      <c r="P78" s="27">
        <v>3</v>
      </c>
      <c r="Q78" s="27">
        <v>3</v>
      </c>
      <c r="R78" s="27">
        <v>3</v>
      </c>
      <c r="S78" s="27">
        <v>3</v>
      </c>
      <c r="T78" s="27">
        <v>3</v>
      </c>
      <c r="U78" s="27">
        <v>3</v>
      </c>
      <c r="V78" s="27">
        <v>3</v>
      </c>
      <c r="W78" s="27">
        <v>3</v>
      </c>
      <c r="X78" s="27">
        <v>3</v>
      </c>
      <c r="Y78" s="27">
        <v>3</v>
      </c>
      <c r="Z78" s="27">
        <v>3</v>
      </c>
      <c r="AA78" s="27">
        <v>3</v>
      </c>
      <c r="AB78" s="22">
        <v>0</v>
      </c>
      <c r="AC78" s="35"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4.25" customHeight="1">
      <c r="A79" s="65"/>
      <c r="B79" s="33"/>
      <c r="C79" s="57"/>
      <c r="D79" s="95"/>
      <c r="E79" s="57"/>
      <c r="F79" s="95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31">
        <v>2</v>
      </c>
      <c r="AC79" s="35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4.25" customHeight="1">
      <c r="A80" s="65"/>
      <c r="B80" s="64" t="s">
        <v>88</v>
      </c>
      <c r="C80" s="59" t="s">
        <v>89</v>
      </c>
      <c r="D80" s="58"/>
      <c r="E80" s="57" t="s">
        <v>42</v>
      </c>
      <c r="F80" s="58"/>
      <c r="G80" s="36">
        <v>3</v>
      </c>
      <c r="H80" s="36">
        <v>3</v>
      </c>
      <c r="I80" s="36">
        <v>3</v>
      </c>
      <c r="J80" s="36">
        <v>3</v>
      </c>
      <c r="K80" s="36">
        <v>3</v>
      </c>
      <c r="L80" s="36">
        <v>3</v>
      </c>
      <c r="M80" s="36">
        <v>3</v>
      </c>
      <c r="N80" s="36">
        <v>3</v>
      </c>
      <c r="O80" s="36">
        <v>3</v>
      </c>
      <c r="P80" s="36">
        <v>3</v>
      </c>
      <c r="Q80" s="36">
        <v>3</v>
      </c>
      <c r="R80" s="36">
        <v>3</v>
      </c>
      <c r="S80" s="36">
        <v>3</v>
      </c>
      <c r="T80" s="36">
        <v>3</v>
      </c>
      <c r="U80" s="36">
        <v>3</v>
      </c>
      <c r="V80" s="36">
        <v>3</v>
      </c>
      <c r="W80" s="36">
        <v>3</v>
      </c>
      <c r="X80" s="36">
        <v>3</v>
      </c>
      <c r="Y80" s="36">
        <v>3</v>
      </c>
      <c r="Z80" s="36">
        <v>3</v>
      </c>
      <c r="AA80" s="36">
        <v>3</v>
      </c>
      <c r="AB80" s="22">
        <v>0</v>
      </c>
      <c r="AC80" s="23"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4.25" customHeight="1">
      <c r="A81" s="65"/>
      <c r="B81" s="65"/>
      <c r="C81" s="59" t="s">
        <v>90</v>
      </c>
      <c r="D81" s="58"/>
      <c r="E81" s="57" t="s">
        <v>39</v>
      </c>
      <c r="F81" s="58"/>
      <c r="G81" s="34">
        <v>3</v>
      </c>
      <c r="H81" s="34">
        <v>3</v>
      </c>
      <c r="I81" s="34">
        <v>3</v>
      </c>
      <c r="J81" s="34">
        <v>3</v>
      </c>
      <c r="K81" s="34">
        <v>3</v>
      </c>
      <c r="L81" s="34">
        <v>3</v>
      </c>
      <c r="M81" s="34">
        <v>3</v>
      </c>
      <c r="N81" s="34">
        <v>3</v>
      </c>
      <c r="O81" s="34">
        <v>3</v>
      </c>
      <c r="P81" s="34">
        <v>3</v>
      </c>
      <c r="Q81" s="34">
        <v>3</v>
      </c>
      <c r="R81" s="34">
        <v>3</v>
      </c>
      <c r="S81" s="34">
        <v>3</v>
      </c>
      <c r="T81" s="34">
        <v>3</v>
      </c>
      <c r="U81" s="34">
        <v>3</v>
      </c>
      <c r="V81" s="34">
        <v>3</v>
      </c>
      <c r="W81" s="34">
        <v>3</v>
      </c>
      <c r="X81" s="34">
        <v>3</v>
      </c>
      <c r="Y81" s="34">
        <v>3</v>
      </c>
      <c r="Z81" s="34">
        <v>3</v>
      </c>
      <c r="AA81" s="34">
        <v>3</v>
      </c>
      <c r="AB81" s="22">
        <v>0</v>
      </c>
      <c r="AC81" s="23"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4.25" customHeight="1">
      <c r="A82" s="65"/>
      <c r="B82" s="65"/>
      <c r="C82" s="59" t="s">
        <v>91</v>
      </c>
      <c r="D82" s="58"/>
      <c r="E82" s="57" t="s">
        <v>30</v>
      </c>
      <c r="F82" s="58"/>
      <c r="G82" s="27">
        <v>4</v>
      </c>
      <c r="H82" s="27">
        <v>4</v>
      </c>
      <c r="I82" s="27">
        <v>4</v>
      </c>
      <c r="J82" s="27">
        <v>4</v>
      </c>
      <c r="K82" s="27">
        <v>4</v>
      </c>
      <c r="L82" s="27">
        <v>4</v>
      </c>
      <c r="M82" s="27">
        <v>4</v>
      </c>
      <c r="N82" s="27">
        <v>4</v>
      </c>
      <c r="O82" s="27">
        <v>4</v>
      </c>
      <c r="P82" s="27">
        <v>4</v>
      </c>
      <c r="Q82" s="27">
        <v>4</v>
      </c>
      <c r="R82" s="27">
        <v>4</v>
      </c>
      <c r="S82" s="27">
        <v>4</v>
      </c>
      <c r="T82" s="27">
        <v>4</v>
      </c>
      <c r="U82" s="27">
        <v>4</v>
      </c>
      <c r="V82" s="27">
        <v>4</v>
      </c>
      <c r="W82" s="27">
        <v>4</v>
      </c>
      <c r="X82" s="27">
        <v>4</v>
      </c>
      <c r="Y82" s="27">
        <v>4</v>
      </c>
      <c r="Z82" s="27">
        <v>4</v>
      </c>
      <c r="AA82" s="27">
        <v>4</v>
      </c>
      <c r="AB82" s="22">
        <v>0</v>
      </c>
      <c r="AC82" s="23">
        <v>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14.25" customHeight="1">
      <c r="A83" s="65"/>
      <c r="B83" s="65"/>
      <c r="C83" s="59" t="s">
        <v>92</v>
      </c>
      <c r="D83" s="58"/>
      <c r="E83" s="57" t="s">
        <v>28</v>
      </c>
      <c r="F83" s="58"/>
      <c r="G83" s="27">
        <v>3</v>
      </c>
      <c r="H83" s="27">
        <v>3</v>
      </c>
      <c r="I83" s="27">
        <v>3</v>
      </c>
      <c r="J83" s="27">
        <v>3</v>
      </c>
      <c r="K83" s="27">
        <v>3</v>
      </c>
      <c r="L83" s="27">
        <v>3</v>
      </c>
      <c r="M83" s="27">
        <v>3</v>
      </c>
      <c r="N83" s="27">
        <v>3</v>
      </c>
      <c r="O83" s="27">
        <v>3</v>
      </c>
      <c r="P83" s="27">
        <v>3</v>
      </c>
      <c r="Q83" s="27">
        <v>3</v>
      </c>
      <c r="R83" s="27">
        <v>3</v>
      </c>
      <c r="S83" s="27">
        <v>3</v>
      </c>
      <c r="T83" s="27">
        <v>3</v>
      </c>
      <c r="U83" s="27">
        <v>3</v>
      </c>
      <c r="V83" s="27">
        <v>3</v>
      </c>
      <c r="W83" s="27">
        <v>3</v>
      </c>
      <c r="X83" s="27">
        <v>3</v>
      </c>
      <c r="Y83" s="27">
        <v>3</v>
      </c>
      <c r="Z83" s="27">
        <v>3</v>
      </c>
      <c r="AA83" s="27">
        <v>3</v>
      </c>
      <c r="AB83" s="22">
        <v>0</v>
      </c>
      <c r="AC83" s="23">
        <v>0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4.25" customHeight="1">
      <c r="A84" s="65"/>
      <c r="B84" s="65"/>
      <c r="C84" s="59" t="s">
        <v>93</v>
      </c>
      <c r="D84" s="58"/>
      <c r="E84" s="57" t="s">
        <v>37</v>
      </c>
      <c r="F84" s="58"/>
      <c r="G84" s="27">
        <v>5</v>
      </c>
      <c r="H84" s="27">
        <v>4</v>
      </c>
      <c r="I84" s="27">
        <v>4</v>
      </c>
      <c r="J84" s="27">
        <v>4</v>
      </c>
      <c r="K84" s="27">
        <v>4</v>
      </c>
      <c r="L84" s="27">
        <v>4</v>
      </c>
      <c r="M84" s="27">
        <v>4</v>
      </c>
      <c r="N84" s="27">
        <v>4</v>
      </c>
      <c r="O84" s="27">
        <v>4</v>
      </c>
      <c r="P84" s="27">
        <v>4</v>
      </c>
      <c r="Q84" s="27">
        <v>4</v>
      </c>
      <c r="R84" s="27">
        <v>4</v>
      </c>
      <c r="S84" s="27">
        <v>4</v>
      </c>
      <c r="T84" s="27">
        <v>4</v>
      </c>
      <c r="U84" s="27">
        <v>4</v>
      </c>
      <c r="V84" s="27">
        <v>4</v>
      </c>
      <c r="W84" s="27">
        <v>4</v>
      </c>
      <c r="X84" s="27">
        <v>4</v>
      </c>
      <c r="Y84" s="27">
        <v>4</v>
      </c>
      <c r="Z84" s="27">
        <v>4</v>
      </c>
      <c r="AA84" s="27">
        <v>4</v>
      </c>
      <c r="AB84" s="22">
        <v>0</v>
      </c>
      <c r="AC84" s="23">
        <v>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4.25" customHeight="1">
      <c r="A85" s="65"/>
      <c r="B85" s="65"/>
      <c r="C85" s="57"/>
      <c r="D85" s="95"/>
      <c r="E85" s="57"/>
      <c r="F85" s="95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31">
        <v>1</v>
      </c>
      <c r="AC85" s="23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4.25" customHeight="1">
      <c r="A86" s="65"/>
      <c r="B86" s="65"/>
      <c r="C86" s="59" t="s">
        <v>94</v>
      </c>
      <c r="D86" s="58"/>
      <c r="E86" s="57" t="s">
        <v>26</v>
      </c>
      <c r="F86" s="58"/>
      <c r="G86" s="27">
        <v>4</v>
      </c>
      <c r="H86" s="27">
        <v>4</v>
      </c>
      <c r="I86" s="27">
        <v>4</v>
      </c>
      <c r="J86" s="27">
        <v>4</v>
      </c>
      <c r="K86" s="27">
        <v>4</v>
      </c>
      <c r="L86" s="27">
        <v>4</v>
      </c>
      <c r="M86" s="27">
        <v>4</v>
      </c>
      <c r="N86" s="27">
        <v>4</v>
      </c>
      <c r="O86" s="27">
        <v>4</v>
      </c>
      <c r="P86" s="27">
        <v>4</v>
      </c>
      <c r="Q86" s="27">
        <v>4</v>
      </c>
      <c r="R86" s="27">
        <v>4</v>
      </c>
      <c r="S86" s="27">
        <v>4</v>
      </c>
      <c r="T86" s="27">
        <v>4</v>
      </c>
      <c r="U86" s="27">
        <v>4</v>
      </c>
      <c r="V86" s="27">
        <v>4</v>
      </c>
      <c r="W86" s="27">
        <v>4</v>
      </c>
      <c r="X86" s="27">
        <v>4</v>
      </c>
      <c r="Y86" s="27">
        <v>4</v>
      </c>
      <c r="Z86" s="27">
        <v>4</v>
      </c>
      <c r="AA86" s="27">
        <v>4</v>
      </c>
      <c r="AB86" s="22">
        <v>0</v>
      </c>
      <c r="AC86" s="23">
        <v>0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4.25" customHeight="1">
      <c r="A87" s="65"/>
      <c r="B87" s="66"/>
      <c r="C87" s="59" t="s">
        <v>95</v>
      </c>
      <c r="D87" s="58"/>
      <c r="E87" s="57" t="s">
        <v>26</v>
      </c>
      <c r="F87" s="58"/>
      <c r="G87" s="27">
        <v>2</v>
      </c>
      <c r="H87" s="27">
        <v>2</v>
      </c>
      <c r="I87" s="27">
        <v>2</v>
      </c>
      <c r="J87" s="27">
        <v>2</v>
      </c>
      <c r="K87" s="27">
        <v>2</v>
      </c>
      <c r="L87" s="27">
        <v>2</v>
      </c>
      <c r="M87" s="27">
        <v>2</v>
      </c>
      <c r="N87" s="27">
        <v>2</v>
      </c>
      <c r="O87" s="27">
        <v>2</v>
      </c>
      <c r="P87" s="27">
        <v>2</v>
      </c>
      <c r="Q87" s="27">
        <v>2</v>
      </c>
      <c r="R87" s="27">
        <v>2</v>
      </c>
      <c r="S87" s="27">
        <v>2</v>
      </c>
      <c r="T87" s="27">
        <v>2</v>
      </c>
      <c r="U87" s="27">
        <v>2</v>
      </c>
      <c r="V87" s="27">
        <v>2</v>
      </c>
      <c r="W87" s="27">
        <v>2</v>
      </c>
      <c r="X87" s="27">
        <v>2</v>
      </c>
      <c r="Y87" s="27">
        <v>2</v>
      </c>
      <c r="Z87" s="27">
        <v>2</v>
      </c>
      <c r="AA87" s="27">
        <v>2</v>
      </c>
      <c r="AB87" s="27">
        <v>2</v>
      </c>
      <c r="AC87" s="22">
        <v>0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4.25" customHeight="1">
      <c r="A88" s="65"/>
      <c r="B88" s="64" t="s">
        <v>96</v>
      </c>
      <c r="C88" s="59" t="s">
        <v>97</v>
      </c>
      <c r="D88" s="58"/>
      <c r="E88" s="57" t="s">
        <v>98</v>
      </c>
      <c r="F88" s="58"/>
      <c r="G88" s="23">
        <v>4</v>
      </c>
      <c r="H88" s="23">
        <v>4</v>
      </c>
      <c r="I88" s="23">
        <v>4</v>
      </c>
      <c r="J88" s="23">
        <v>4</v>
      </c>
      <c r="K88" s="23">
        <v>4</v>
      </c>
      <c r="L88" s="23">
        <v>4</v>
      </c>
      <c r="M88" s="23">
        <v>4</v>
      </c>
      <c r="N88" s="23">
        <v>4</v>
      </c>
      <c r="O88" s="23">
        <v>4</v>
      </c>
      <c r="P88" s="23">
        <v>4</v>
      </c>
      <c r="Q88" s="23">
        <v>4</v>
      </c>
      <c r="R88" s="23">
        <v>4</v>
      </c>
      <c r="S88" s="23">
        <v>4</v>
      </c>
      <c r="T88" s="23">
        <v>4</v>
      </c>
      <c r="U88" s="23">
        <v>4</v>
      </c>
      <c r="V88" s="23">
        <v>4</v>
      </c>
      <c r="W88" s="23">
        <v>4</v>
      </c>
      <c r="X88" s="23">
        <v>4</v>
      </c>
      <c r="Y88" s="23">
        <v>4</v>
      </c>
      <c r="Z88" s="23">
        <v>4</v>
      </c>
      <c r="AA88" s="23">
        <v>4</v>
      </c>
      <c r="AB88" s="23">
        <v>4</v>
      </c>
      <c r="AC88" s="22"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4.25" customHeight="1">
      <c r="A89" s="65"/>
      <c r="B89" s="66"/>
      <c r="C89" s="59" t="s">
        <v>99</v>
      </c>
      <c r="D89" s="58"/>
      <c r="E89" s="57" t="s">
        <v>98</v>
      </c>
      <c r="F89" s="58"/>
      <c r="G89" s="23">
        <v>3</v>
      </c>
      <c r="H89" s="23">
        <v>3</v>
      </c>
      <c r="I89" s="23">
        <v>3</v>
      </c>
      <c r="J89" s="23">
        <v>3</v>
      </c>
      <c r="K89" s="23">
        <v>3</v>
      </c>
      <c r="L89" s="23">
        <v>3</v>
      </c>
      <c r="M89" s="23">
        <v>3</v>
      </c>
      <c r="N89" s="23">
        <v>3</v>
      </c>
      <c r="O89" s="23">
        <v>3</v>
      </c>
      <c r="P89" s="23">
        <v>3</v>
      </c>
      <c r="Q89" s="23">
        <v>3</v>
      </c>
      <c r="R89" s="23">
        <v>3</v>
      </c>
      <c r="S89" s="23">
        <v>3</v>
      </c>
      <c r="T89" s="23">
        <v>3</v>
      </c>
      <c r="U89" s="23">
        <v>3</v>
      </c>
      <c r="V89" s="23">
        <v>3</v>
      </c>
      <c r="W89" s="23">
        <v>3</v>
      </c>
      <c r="X89" s="23">
        <v>3</v>
      </c>
      <c r="Y89" s="23">
        <v>3</v>
      </c>
      <c r="Z89" s="23">
        <v>3</v>
      </c>
      <c r="AA89" s="23">
        <v>3</v>
      </c>
      <c r="AB89" s="23">
        <v>3</v>
      </c>
      <c r="AC89" s="22">
        <v>0</v>
      </c>
      <c r="AD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4.25" customHeight="1">
      <c r="A90" s="65"/>
      <c r="B90" s="77" t="s">
        <v>20</v>
      </c>
      <c r="C90" s="78"/>
      <c r="D90" s="79"/>
      <c r="E90" s="83" t="s">
        <v>13</v>
      </c>
      <c r="F90" s="58"/>
      <c r="G90" s="57">
        <f>SUM(G16:G89)</f>
        <v>254</v>
      </c>
      <c r="H90" s="58"/>
      <c r="I90" s="23">
        <f t="shared" ref="I90:N90" si="1">SUM(I16:I89)</f>
        <v>239</v>
      </c>
      <c r="J90" s="23">
        <f t="shared" si="1"/>
        <v>239</v>
      </c>
      <c r="K90" s="23">
        <f t="shared" si="1"/>
        <v>237</v>
      </c>
      <c r="L90" s="23">
        <f t="shared" si="1"/>
        <v>236</v>
      </c>
      <c r="M90" s="23">
        <f>SUM(M16:M89)</f>
        <v>205</v>
      </c>
      <c r="N90" s="23">
        <f t="shared" si="1"/>
        <v>207</v>
      </c>
      <c r="O90" s="23">
        <f>SUM(O16:O89)</f>
        <v>207</v>
      </c>
      <c r="P90" s="23">
        <f>SUM(P16:P89)</f>
        <v>163</v>
      </c>
      <c r="Q90" s="23">
        <f t="shared" ref="Q90:V90" si="2">SUM(Q16:Q89)</f>
        <v>159</v>
      </c>
      <c r="R90" s="23">
        <f t="shared" si="2"/>
        <v>159</v>
      </c>
      <c r="S90" s="23">
        <f t="shared" si="2"/>
        <v>159</v>
      </c>
      <c r="T90" s="23">
        <f t="shared" si="2"/>
        <v>159</v>
      </c>
      <c r="U90" s="23">
        <f t="shared" si="2"/>
        <v>159</v>
      </c>
      <c r="V90" s="23">
        <f t="shared" si="2"/>
        <v>159</v>
      </c>
      <c r="W90" s="23">
        <f>SUM(W16:W89)</f>
        <v>92</v>
      </c>
      <c r="X90" s="23">
        <f>SUM(X16:X89)</f>
        <v>94</v>
      </c>
      <c r="Y90" s="23">
        <f>SUM(Y16:Y89)</f>
        <v>74</v>
      </c>
      <c r="Z90" s="23">
        <f>SUM(Z16:Z89)</f>
        <v>56</v>
      </c>
      <c r="AA90" s="23">
        <f>SUM(AA16:AA89)</f>
        <v>54</v>
      </c>
      <c r="AB90" s="23">
        <f>SUM(AB16:AB89)</f>
        <v>10</v>
      </c>
      <c r="AC90" s="23">
        <f>SUM(AC16:AC89)</f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4.25" customHeight="1">
      <c r="A91" s="66"/>
      <c r="B91" s="80"/>
      <c r="C91" s="81"/>
      <c r="D91" s="82"/>
      <c r="E91" s="83" t="s">
        <v>14</v>
      </c>
      <c r="F91" s="58"/>
      <c r="G91" s="57">
        <f>SUM(H16:H89)</f>
        <v>251</v>
      </c>
      <c r="H91" s="58"/>
      <c r="I91" s="23">
        <f>SUM(I16:I89)</f>
        <v>239</v>
      </c>
      <c r="J91" s="23">
        <f>SUM(J16:J89)+K18</f>
        <v>239</v>
      </c>
      <c r="K91" s="23">
        <f>SUM(K16:K89)-K18</f>
        <v>237</v>
      </c>
      <c r="L91" s="23">
        <f t="shared" ref="L91:O91" si="3">SUM(L16:L89)</f>
        <v>236</v>
      </c>
      <c r="M91" s="23">
        <f>SUM(M16:M89)-M21-M28</f>
        <v>207</v>
      </c>
      <c r="N91" s="23">
        <f t="shared" si="3"/>
        <v>207</v>
      </c>
      <c r="O91" s="23">
        <f t="shared" si="3"/>
        <v>207</v>
      </c>
      <c r="P91" s="23">
        <f>SUM(P16:P89)-P48-P46-P41-P38-P34</f>
        <v>159</v>
      </c>
      <c r="Q91" s="23">
        <f>SUM(Q16:Q89)+P39+P45</f>
        <v>159</v>
      </c>
      <c r="R91" s="23">
        <f t="shared" ref="R91:AB91" si="4">SUM(R16:R89)</f>
        <v>159</v>
      </c>
      <c r="S91" s="23">
        <f t="shared" si="4"/>
        <v>159</v>
      </c>
      <c r="T91" s="23">
        <f t="shared" si="4"/>
        <v>159</v>
      </c>
      <c r="U91" s="23">
        <f t="shared" si="4"/>
        <v>159</v>
      </c>
      <c r="V91" s="23">
        <f t="shared" si="4"/>
        <v>159</v>
      </c>
      <c r="W91" s="23">
        <f>SUM(W16:W89)-W55</f>
        <v>94</v>
      </c>
      <c r="X91" s="23">
        <f t="shared" si="4"/>
        <v>94</v>
      </c>
      <c r="Y91" s="23">
        <f>SUM(Y16:Y89)-Y62</f>
        <v>72</v>
      </c>
      <c r="Z91" s="23">
        <f>SUM(Z16:Z89)-Z66</f>
        <v>54</v>
      </c>
      <c r="AA91" s="23">
        <f t="shared" si="4"/>
        <v>54</v>
      </c>
      <c r="AB91" s="23">
        <f>SUM(AB16:AB89)-AB85-AB79-AB76</f>
        <v>9</v>
      </c>
      <c r="AC91" s="23">
        <f>SUM(AC16:AC89)-AC82 - AC86</f>
        <v>0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4.25" customHeight="1">
      <c r="A112" s="1"/>
      <c r="B112" s="1"/>
      <c r="C112" s="60"/>
      <c r="D112" s="6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:49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:49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:49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:49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:49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:49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:4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:49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:49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:49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:49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:49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:49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:49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:49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:49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:4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:49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:49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:49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:49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:49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:49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:49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:49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:49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:4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:49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:49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:49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:49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:49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:49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:49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:49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:49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:4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:49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:49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:49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:49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:49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:49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:49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: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:49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:49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:49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:49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:49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:49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:49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:49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:49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:4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:49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:49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:49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:49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:49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:49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:49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:49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:49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:4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:49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:49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:49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:49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:49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:49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:49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:49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:49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:49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:49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:49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:49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:49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:49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:49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:49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:4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:49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:49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:49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:49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:49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:49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:49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:49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:49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:4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:49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:49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:49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:49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:49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:49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:49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:49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:49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:4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:49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:49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:49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:49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:49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:49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:49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:4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:49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:49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:49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:49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:49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:49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:49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:49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:4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:49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:49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:49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:49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:49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:49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:49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:49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:49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:4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:49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:49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:49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:49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:49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:49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:49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: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:49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:49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:49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:49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:49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:49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:49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:49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:49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:4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:49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:49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:49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:49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:49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:49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:49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:49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:49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:4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:49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:49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:49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:49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:49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:49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:49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:49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:49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:4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:49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:49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:49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:49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:49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:49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:49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:4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:49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:49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:49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:49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:49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:49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:49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:49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:49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:4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:49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:49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:49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:49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:49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:49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:49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:49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:49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:4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:49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:49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:49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:49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:49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:49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:49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:4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:49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:49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:49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:49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:49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:49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:49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:4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:49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:49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:49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:49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:49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:49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:49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:49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:49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:4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:49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:49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:49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:49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:49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:49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:49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:49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:49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: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:49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:49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:49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:49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:49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:49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:49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:49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:49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:49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:49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:49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:49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:49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:49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:49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:49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:4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:49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:49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:49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:49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:49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:49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:49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:49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:49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:4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:49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:49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:49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:49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:49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:49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:49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:49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:49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:4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:49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:49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:49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:49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:49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:49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:49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:4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:49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:49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:49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:49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:49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:49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:49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:49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:49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:4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:49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:49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:49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:49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:49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:49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:49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:49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:49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:4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:49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:49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:49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:49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:49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:49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:49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:4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:49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:49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:49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:49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:49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:49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:49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:49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:49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:4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:49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:49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:49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:49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:49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:49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:49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:49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:49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: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:49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:49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:49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:49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:49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:49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:49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:49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:49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:49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:49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:49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:49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:49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:49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:49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:49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:4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:49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:49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:49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:49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:49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:49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:49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:49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:49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:4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:49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:49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:49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:49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:49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:49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:49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:49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:49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:4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:49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:49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:49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:49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:49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:49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:49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:4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:49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:49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:49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:49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:49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:49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:49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:49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:49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:4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:49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:49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:49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:49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:49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:49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:49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:49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:49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:4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:49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:49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:49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:49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:49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:49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:49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:49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:49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:4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:49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:49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:49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:49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:49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:49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:49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:4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:49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:49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:49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:49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:49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:49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:49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:49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spans="1:49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spans="1: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spans="1:49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spans="1:49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spans="1:49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spans="1:49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spans="1:49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spans="1:49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spans="1:49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spans="1:49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spans="1:49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spans="1:4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spans="1:49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spans="1:49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spans="1:49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spans="1:49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spans="1:49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spans="1:49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spans="1:49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spans="1:4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spans="1:49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spans="1:49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spans="1:49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spans="1:49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spans="1:49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spans="1:49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spans="1:49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spans="1:49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spans="1:49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spans="1:4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spans="1:49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spans="1:49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spans="1:49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spans="1:49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spans="1:49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spans="1:49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spans="1:49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spans="1:49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spans="1:49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spans="1:4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spans="1:49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spans="1:49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spans="1:49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</sheetData>
  <mergeCells count="170">
    <mergeCell ref="E55:F55"/>
    <mergeCell ref="C55:D55"/>
    <mergeCell ref="E62:F62"/>
    <mergeCell ref="C62:D62"/>
    <mergeCell ref="C66:D66"/>
    <mergeCell ref="E66:F66"/>
    <mergeCell ref="E68:F68"/>
    <mergeCell ref="C68:D68"/>
    <mergeCell ref="C76:D76"/>
    <mergeCell ref="E76:F76"/>
    <mergeCell ref="E50:F50"/>
    <mergeCell ref="C50:D50"/>
    <mergeCell ref="E37:F37"/>
    <mergeCell ref="E39:F39"/>
    <mergeCell ref="E21:F21"/>
    <mergeCell ref="C21:D21"/>
    <mergeCell ref="C28:D28"/>
    <mergeCell ref="C34:D34"/>
    <mergeCell ref="C38:D38"/>
    <mergeCell ref="C41:D41"/>
    <mergeCell ref="C48:D48"/>
    <mergeCell ref="C46:D46"/>
    <mergeCell ref="E46:F46"/>
    <mergeCell ref="E41:F41"/>
    <mergeCell ref="E38:F38"/>
    <mergeCell ref="E34:F34"/>
    <mergeCell ref="E28:F28"/>
    <mergeCell ref="E48:F48"/>
    <mergeCell ref="C51:D51"/>
    <mergeCell ref="E51:F51"/>
    <mergeCell ref="C52:D52"/>
    <mergeCell ref="E52:F52"/>
    <mergeCell ref="C53:D53"/>
    <mergeCell ref="E53:F53"/>
    <mergeCell ref="C89:D89"/>
    <mergeCell ref="B90:D91"/>
    <mergeCell ref="E90:F90"/>
    <mergeCell ref="E91:F91"/>
    <mergeCell ref="E84:F84"/>
    <mergeCell ref="E86:F86"/>
    <mergeCell ref="C87:D87"/>
    <mergeCell ref="E87:F87"/>
    <mergeCell ref="C88:D88"/>
    <mergeCell ref="E88:F88"/>
    <mergeCell ref="E89:F89"/>
    <mergeCell ref="E54:F54"/>
    <mergeCell ref="E56:F56"/>
    <mergeCell ref="E57:F57"/>
    <mergeCell ref="E58:F58"/>
    <mergeCell ref="E59:F59"/>
    <mergeCell ref="E60:F60"/>
    <mergeCell ref="E61:F61"/>
    <mergeCell ref="A1:B1"/>
    <mergeCell ref="A2:B2"/>
    <mergeCell ref="A3:B3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E19:F19"/>
    <mergeCell ref="C24:D24"/>
    <mergeCell ref="E24:F24"/>
    <mergeCell ref="C25:D25"/>
    <mergeCell ref="E25:F25"/>
    <mergeCell ref="E20:F20"/>
    <mergeCell ref="E22:F22"/>
    <mergeCell ref="E23:F23"/>
    <mergeCell ref="E26:F26"/>
    <mergeCell ref="E27:F27"/>
    <mergeCell ref="C27:D27"/>
    <mergeCell ref="C29:D29"/>
    <mergeCell ref="C30:D30"/>
    <mergeCell ref="C31:D31"/>
    <mergeCell ref="C32:D32"/>
    <mergeCell ref="C33:D33"/>
    <mergeCell ref="E29:F29"/>
    <mergeCell ref="E30:F30"/>
    <mergeCell ref="E31:F31"/>
    <mergeCell ref="E32:F32"/>
    <mergeCell ref="E33:F33"/>
    <mergeCell ref="A4:B4"/>
    <mergeCell ref="B80:B87"/>
    <mergeCell ref="B63:B70"/>
    <mergeCell ref="B71:B78"/>
    <mergeCell ref="B20:B32"/>
    <mergeCell ref="B33:B47"/>
    <mergeCell ref="B49:B61"/>
    <mergeCell ref="A16:A91"/>
    <mergeCell ref="B88:B89"/>
    <mergeCell ref="B19:D19"/>
    <mergeCell ref="C20:D20"/>
    <mergeCell ref="C22:D22"/>
    <mergeCell ref="C23:D23"/>
    <mergeCell ref="C58:D58"/>
    <mergeCell ref="C59:D59"/>
    <mergeCell ref="C60:D60"/>
    <mergeCell ref="C54:D54"/>
    <mergeCell ref="C56:D56"/>
    <mergeCell ref="C57:D57"/>
    <mergeCell ref="C64:D64"/>
    <mergeCell ref="C65:D65"/>
    <mergeCell ref="C67:D67"/>
    <mergeCell ref="C61:D61"/>
    <mergeCell ref="C26:D26"/>
    <mergeCell ref="E35:F35"/>
    <mergeCell ref="E36:F36"/>
    <mergeCell ref="C47:D47"/>
    <mergeCell ref="C49:D49"/>
    <mergeCell ref="C43:D43"/>
    <mergeCell ref="E43:F43"/>
    <mergeCell ref="C44:D44"/>
    <mergeCell ref="E44:F44"/>
    <mergeCell ref="C45:D45"/>
    <mergeCell ref="E45:F45"/>
    <mergeCell ref="E47:F47"/>
    <mergeCell ref="E49:F49"/>
    <mergeCell ref="C35:D35"/>
    <mergeCell ref="C36:D36"/>
    <mergeCell ref="C37:D37"/>
    <mergeCell ref="C39:D39"/>
    <mergeCell ref="C40:D40"/>
    <mergeCell ref="E40:F40"/>
    <mergeCell ref="C42:D42"/>
    <mergeCell ref="E42:F42"/>
    <mergeCell ref="C63:D63"/>
    <mergeCell ref="E63:F63"/>
    <mergeCell ref="E64:F64"/>
    <mergeCell ref="C71:D71"/>
    <mergeCell ref="C72:D72"/>
    <mergeCell ref="C73:D73"/>
    <mergeCell ref="E65:F65"/>
    <mergeCell ref="E67:F67"/>
    <mergeCell ref="C69:D69"/>
    <mergeCell ref="E69:F69"/>
    <mergeCell ref="C70:D70"/>
    <mergeCell ref="E70:F70"/>
    <mergeCell ref="E71:F71"/>
    <mergeCell ref="C77:D77"/>
    <mergeCell ref="C78:D78"/>
    <mergeCell ref="C80:D80"/>
    <mergeCell ref="C112:D112"/>
    <mergeCell ref="E72:F72"/>
    <mergeCell ref="E73:F73"/>
    <mergeCell ref="C74:D74"/>
    <mergeCell ref="E74:F74"/>
    <mergeCell ref="C75:D75"/>
    <mergeCell ref="E75:F75"/>
    <mergeCell ref="E77:F77"/>
    <mergeCell ref="C83:D83"/>
    <mergeCell ref="C84:D84"/>
    <mergeCell ref="C86:D86"/>
    <mergeCell ref="E79:F79"/>
    <mergeCell ref="C79:D79"/>
    <mergeCell ref="E85:F85"/>
    <mergeCell ref="C85:D85"/>
    <mergeCell ref="G90:H90"/>
    <mergeCell ref="G91:H91"/>
    <mergeCell ref="E78:F78"/>
    <mergeCell ref="E80:F80"/>
    <mergeCell ref="C81:D81"/>
    <mergeCell ref="E81:F81"/>
    <mergeCell ref="C82:D82"/>
    <mergeCell ref="E82:F82"/>
    <mergeCell ref="E83:F83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60"/>
  <sheetViews>
    <sheetView tabSelected="1" topLeftCell="A5" zoomScale="55" zoomScaleNormal="55" workbookViewId="0">
      <selection activeCell="C67" sqref="C67:D67"/>
    </sheetView>
  </sheetViews>
  <sheetFormatPr defaultColWidth="14.44140625" defaultRowHeight="15" customHeight="1"/>
  <cols>
    <col min="1" max="1" width="19.5546875" customWidth="1"/>
    <col min="2" max="2" width="19" customWidth="1"/>
    <col min="3" max="3" width="54.6640625" customWidth="1"/>
    <col min="4" max="4" width="11.5546875" customWidth="1"/>
    <col min="5" max="5" width="9.5546875" customWidth="1"/>
    <col min="6" max="6" width="19.33203125" customWidth="1"/>
    <col min="7" max="7" width="6" customWidth="1"/>
    <col min="8" max="8" width="6.109375" customWidth="1"/>
    <col min="9" max="12" width="6" customWidth="1"/>
    <col min="13" max="13" width="6.109375" customWidth="1"/>
    <col min="14" max="17" width="6" customWidth="1"/>
    <col min="18" max="18" width="6.109375" customWidth="1"/>
    <col min="19" max="21" width="6" customWidth="1"/>
    <col min="22" max="24" width="6.109375" customWidth="1"/>
    <col min="25" max="26" width="6" customWidth="1"/>
    <col min="27" max="27" width="6.109375" customWidth="1"/>
    <col min="28" max="28" width="6" customWidth="1"/>
  </cols>
  <sheetData>
    <row r="1" spans="1:28" ht="29.4" customHeight="1">
      <c r="A1" s="62" t="s">
        <v>0</v>
      </c>
      <c r="B1" s="63"/>
      <c r="C1" s="52" t="s">
        <v>100</v>
      </c>
      <c r="D1" s="1"/>
      <c r="E1" s="2"/>
      <c r="F1" s="3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6.5" customHeight="1">
      <c r="A2" s="62" t="s">
        <v>2</v>
      </c>
      <c r="B2" s="63"/>
      <c r="C2" s="4" t="s">
        <v>101</v>
      </c>
      <c r="D2" s="1"/>
      <c r="E2" s="5"/>
      <c r="F2" s="6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5" customHeight="1">
      <c r="A3" s="62" t="s">
        <v>5</v>
      </c>
      <c r="B3" s="63"/>
      <c r="C3" s="7">
        <v>45983</v>
      </c>
      <c r="D3" s="1"/>
      <c r="E3" s="8"/>
      <c r="F3" s="6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8" customHeight="1">
      <c r="A4" s="62" t="s">
        <v>7</v>
      </c>
      <c r="B4" s="63"/>
      <c r="C4" s="7">
        <v>46002</v>
      </c>
      <c r="D4" s="1"/>
      <c r="E4" s="9"/>
      <c r="F4" s="6" t="s">
        <v>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8" customHeight="1">
      <c r="A5" s="1"/>
      <c r="B5" s="1"/>
      <c r="C5" s="1"/>
      <c r="D5" s="1"/>
      <c r="E5" s="10"/>
      <c r="F5" s="11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6.5" customHeight="1">
      <c r="A6" s="1"/>
      <c r="B6" s="75" t="s">
        <v>102</v>
      </c>
      <c r="C6" s="74"/>
      <c r="D6" s="74"/>
      <c r="E6" s="6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6.5" customHeight="1" thickBot="1">
      <c r="A7" s="1"/>
      <c r="B7" s="12" t="s">
        <v>11</v>
      </c>
      <c r="C7" s="12" t="s">
        <v>12</v>
      </c>
      <c r="D7" s="12" t="s">
        <v>13</v>
      </c>
      <c r="E7" s="12" t="s">
        <v>14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6.5" customHeight="1" thickBot="1">
      <c r="A8" s="1"/>
      <c r="B8" s="13">
        <v>1</v>
      </c>
      <c r="C8" s="4" t="s">
        <v>15</v>
      </c>
      <c r="D8" s="37" cm="1">
        <f t="array" ref="D8">SUMPRODUCT((ISNUMBER(SEARCH("Phú", $E$16:$E$67))) * ($E$16:$E$67 &lt;&gt; "All Team") * ($G$16:$G$67) / (LEN($E$16:$E$67) - LEN(SUBSTITUTE($E$16:$E$67, ",", "")) + 1)) + SUMIF($E$16:$E$67, "All Team", $G$16:$G$67)/5</f>
        <v>33.549999999999997</v>
      </c>
      <c r="E8" s="4" cm="1">
        <f t="array" ref="E8">SUMPRODUCT((ISNUMBER(SEARCH("Phú", $E$16:$E$67))) * ($E$16:$E$67 &lt;&gt; "All Team") * ($H$16:$H$67) / (LEN($E$16:$E$67) - LEN(SUBSTITUTE($E$16:$E$67, ",", "")) + 1)) + SUMIF($E$16:$E$67, "All Team", $H$16:$H$67)/5</f>
        <v>35.299999999999997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5" customHeight="1" thickBot="1">
      <c r="A9" s="1"/>
      <c r="B9" s="13">
        <v>2</v>
      </c>
      <c r="C9" s="4" t="s">
        <v>16</v>
      </c>
      <c r="D9" s="37" cm="1">
        <f t="array" ref="D9">SUMPRODUCT((ISNUMBER(SEARCH("Tú", $E$16:$E$67))) * ($E$16:$E$67 &lt;&gt; "All Team") * ($G$16:$G$67) / (LEN($E$16:$E$67) - LEN(SUBSTITUTE($E$16:$E$67, ",", "")) + 1)) + SUMIF($E$16:$E$67, "All Team", $G$16:$G$67)/5</f>
        <v>29.3</v>
      </c>
      <c r="E9" s="4" cm="1">
        <f t="array" ref="E9">SUMPRODUCT((ISNUMBER(SEARCH("Tú", $E$16:$E$67))) * ($E$16:$E$67 &lt;&gt; "All Team") * ($H$16:$H$67) / (LEN($E$16:$E$67) - LEN(SUBSTITUTE($E$16:$E$67, ",", "")) + 1)) + SUMIF($E$16:$E$67, "All Team", $H$16:$H$67)/5</f>
        <v>29.3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5" customHeight="1">
      <c r="A10" s="1"/>
      <c r="B10" s="13">
        <v>3</v>
      </c>
      <c r="C10" s="4" t="s">
        <v>17</v>
      </c>
      <c r="D10" s="37" cm="1">
        <f t="array" ref="D10">SUMPRODUCT((ISNUMBER(SEARCH("Uyên", $E$16:$E$67))) * ($E$16:$E$67 &lt;&gt; "All Team") * ($G$16:$G$67) / (LEN($E$16:$E$67) - LEN(SUBSTITUTE($E$16:$E$67, ",", "")) + 1)) + SUMIF($E$16:$E$67, "All Team", $G$16:$G$67)/5</f>
        <v>23.8</v>
      </c>
      <c r="E10" s="4" cm="1">
        <f t="array" ref="E10">SUMPRODUCT((ISNUMBER(SEARCH("Uyên", $E$16:$E$67))) * ($E$16:$E$67 &lt;&gt; "All Team") * ($H$16:$H$67) / (LEN($E$16:$E$67) - LEN(SUBSTITUTE($E$16:$E$67, ",", "")) + 1)) + SUMIF($E$16:$E$67, "All Team", $H$16:$H$67)/5</f>
        <v>23.8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6.5" customHeight="1">
      <c r="A11" s="1"/>
      <c r="B11" s="13">
        <v>4</v>
      </c>
      <c r="C11" s="4" t="s">
        <v>18</v>
      </c>
      <c r="D11" s="37" cm="1">
        <f t="array" ref="D11">SUMPRODUCT((ISNUMBER(SEARCH("Toàn", $E$16:$E$67))) * ($E$16:$E$67 &lt;&gt; "All Team") * ($G$16:$G$67) / (LEN($E$16:$E$67) - LEN(SUBSTITUTE($E$16:$E$67, ",", "")) + 1)) + SUMIF($E$16:$E$67, "All Team", $G$16:$G$67)/5</f>
        <v>33.799999999999997</v>
      </c>
      <c r="E11" s="4" cm="1">
        <f t="array" ref="E11">SUMPRODUCT((ISNUMBER(SEARCH("Toàn", $E$16:$E$67))) * ($E$16:$E$67 &lt;&gt; "All Team") * ($H$16:$H$67) / (LEN($E$16:$E$67) - LEN(SUBSTITUTE($E$16:$E$67, ",", "")) + 1)) + SUMIF($E$16:$E$67, "All Team", $H$16:$H$67)/5</f>
        <v>30.8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6.5" customHeight="1">
      <c r="A12" s="1"/>
      <c r="B12" s="13">
        <v>5</v>
      </c>
      <c r="C12" s="4" t="s">
        <v>19</v>
      </c>
      <c r="D12" s="37" cm="1">
        <f t="array" ref="D12">SUMPRODUCT((ISNUMBER(SEARCH("Hưng", $E$16:$E$67))) * ($E$16:$E$67 &lt;&gt; "All Team") * ($G$16:$G$67) / (LEN($E$16:$E$67) - LEN(SUBSTITUTE($E$16:$E$67, ",", "")) + 1)) + SUMIF($E$16:$E$67, "All Team", $G$16:$G$67)/5</f>
        <v>21.05</v>
      </c>
      <c r="E12" s="4" cm="1">
        <f t="array" ref="E12">SUMPRODUCT((ISNUMBER(SEARCH("Hưng", $E$16:$E$67))) * ($E$16:$E$67 &lt;&gt; "All Team") * ($H$16:$H$67) / (LEN($E$16:$E$67) - LEN(SUBSTITUTE($E$16:$E$67, ",", "")) + 1)) + SUMIF($E$16:$E$67, "All Team", $H$16:$H$67)/5</f>
        <v>20.8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6.5" customHeight="1">
      <c r="A13" s="1"/>
      <c r="B13" s="75" t="s">
        <v>20</v>
      </c>
      <c r="C13" s="63"/>
      <c r="D13" s="15">
        <f>SUM(D8:D12)</f>
        <v>141.5</v>
      </c>
      <c r="E13" s="15">
        <f t="shared" ref="D13:E13" si="0">SUM(E8:E12)</f>
        <v>140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63.75" customHeight="1">
      <c r="A15" s="38" t="s">
        <v>21</v>
      </c>
      <c r="B15" s="38" t="s">
        <v>22</v>
      </c>
      <c r="C15" s="85" t="s">
        <v>23</v>
      </c>
      <c r="D15" s="58"/>
      <c r="E15" s="85" t="s">
        <v>24</v>
      </c>
      <c r="F15" s="58"/>
      <c r="G15" s="17" t="s">
        <v>13</v>
      </c>
      <c r="H15" s="17" t="s">
        <v>14</v>
      </c>
      <c r="I15" s="39">
        <v>45618</v>
      </c>
      <c r="J15" s="39">
        <v>45619</v>
      </c>
      <c r="K15" s="39">
        <v>45620</v>
      </c>
      <c r="L15" s="39">
        <v>45621</v>
      </c>
      <c r="M15" s="39">
        <v>45622</v>
      </c>
      <c r="N15" s="39">
        <v>45623</v>
      </c>
      <c r="O15" s="39">
        <v>45624</v>
      </c>
      <c r="P15" s="39">
        <v>45625</v>
      </c>
      <c r="Q15" s="39">
        <v>45626</v>
      </c>
      <c r="R15" s="39">
        <v>45627</v>
      </c>
      <c r="S15" s="39">
        <v>45628</v>
      </c>
      <c r="T15" s="39">
        <v>45629</v>
      </c>
      <c r="U15" s="39">
        <v>45630</v>
      </c>
      <c r="V15" s="39">
        <v>45631</v>
      </c>
      <c r="W15" s="39">
        <v>45632</v>
      </c>
      <c r="X15" s="39">
        <v>45633</v>
      </c>
      <c r="Y15" s="39">
        <v>45634</v>
      </c>
      <c r="Z15" s="39">
        <v>45635</v>
      </c>
      <c r="AA15" s="39">
        <v>45636</v>
      </c>
      <c r="AB15" s="39">
        <v>45637</v>
      </c>
    </row>
    <row r="16" spans="1:28" ht="16.5" customHeight="1">
      <c r="A16" s="64" t="s">
        <v>101</v>
      </c>
      <c r="B16" s="59" t="s">
        <v>103</v>
      </c>
      <c r="C16" s="67"/>
      <c r="D16" s="58"/>
      <c r="E16" s="57" t="s">
        <v>28</v>
      </c>
      <c r="F16" s="58"/>
      <c r="G16" s="23">
        <v>2</v>
      </c>
      <c r="H16" s="23">
        <v>2</v>
      </c>
      <c r="I16" s="22">
        <v>0</v>
      </c>
      <c r="J16" s="21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</row>
    <row r="17" spans="1:28" ht="16.5" customHeight="1">
      <c r="A17" s="65"/>
      <c r="B17" s="59" t="s">
        <v>104</v>
      </c>
      <c r="C17" s="67"/>
      <c r="D17" s="58"/>
      <c r="E17" s="57" t="s">
        <v>28</v>
      </c>
      <c r="F17" s="58"/>
      <c r="G17" s="23">
        <v>3</v>
      </c>
      <c r="H17" s="23">
        <v>4</v>
      </c>
      <c r="I17" s="22">
        <v>0</v>
      </c>
      <c r="J17" s="23">
        <v>0</v>
      </c>
      <c r="K17" s="21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</row>
    <row r="18" spans="1:28" ht="16.5" customHeight="1">
      <c r="A18" s="65"/>
      <c r="B18" s="29"/>
      <c r="C18" s="57"/>
      <c r="D18" s="95"/>
      <c r="E18" s="57"/>
      <c r="F18" s="95"/>
      <c r="G18" s="23"/>
      <c r="H18" s="23"/>
      <c r="I18" s="28">
        <v>-1</v>
      </c>
      <c r="J18" s="23"/>
      <c r="K18" s="21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ht="16.5" customHeight="1">
      <c r="A19" s="65"/>
      <c r="B19" s="59" t="s">
        <v>105</v>
      </c>
      <c r="C19" s="67"/>
      <c r="D19" s="58"/>
      <c r="E19" s="57" t="s">
        <v>106</v>
      </c>
      <c r="F19" s="58"/>
      <c r="G19" s="23">
        <v>2</v>
      </c>
      <c r="H19" s="23">
        <v>2</v>
      </c>
      <c r="I19" s="22">
        <v>0</v>
      </c>
      <c r="J19" s="23">
        <v>0</v>
      </c>
      <c r="K19" s="21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</row>
    <row r="20" spans="1:28" ht="16.5" customHeight="1">
      <c r="A20" s="65"/>
      <c r="B20" s="59" t="s">
        <v>107</v>
      </c>
      <c r="C20" s="67"/>
      <c r="D20" s="58"/>
      <c r="E20" s="57" t="s">
        <v>26</v>
      </c>
      <c r="F20" s="58"/>
      <c r="G20" s="23">
        <v>4</v>
      </c>
      <c r="H20" s="23">
        <v>4</v>
      </c>
      <c r="I20" s="22">
        <v>0</v>
      </c>
      <c r="J20" s="23">
        <v>0</v>
      </c>
      <c r="K20" s="21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</row>
    <row r="21" spans="1:28" ht="17.25" customHeight="1">
      <c r="A21" s="65"/>
      <c r="B21" s="64" t="s">
        <v>33</v>
      </c>
      <c r="C21" s="59" t="s">
        <v>108</v>
      </c>
      <c r="D21" s="58"/>
      <c r="E21" s="57" t="s">
        <v>30</v>
      </c>
      <c r="F21" s="58"/>
      <c r="G21" s="40">
        <v>4.5</v>
      </c>
      <c r="H21" s="23">
        <v>4</v>
      </c>
      <c r="I21" s="23">
        <v>4</v>
      </c>
      <c r="J21" s="22">
        <v>0</v>
      </c>
      <c r="K21" s="23">
        <v>0</v>
      </c>
      <c r="L21" s="21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</row>
    <row r="22" spans="1:28" ht="17.25" customHeight="1">
      <c r="A22" s="65"/>
      <c r="B22" s="65"/>
      <c r="C22" s="57"/>
      <c r="D22" s="95"/>
      <c r="E22" s="57"/>
      <c r="F22" s="95"/>
      <c r="G22" s="40"/>
      <c r="H22" s="23"/>
      <c r="I22" s="23"/>
      <c r="J22" s="31">
        <v>0.5</v>
      </c>
      <c r="K22" s="23"/>
      <c r="L22" s="21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r="23" spans="1:28" ht="16.5" customHeight="1">
      <c r="A23" s="65"/>
      <c r="B23" s="65"/>
      <c r="C23" s="59" t="s">
        <v>109</v>
      </c>
      <c r="D23" s="58"/>
      <c r="E23" s="57" t="s">
        <v>28</v>
      </c>
      <c r="F23" s="58"/>
      <c r="G23" s="40">
        <v>5.5</v>
      </c>
      <c r="H23" s="23">
        <v>6</v>
      </c>
      <c r="I23" s="23">
        <v>6</v>
      </c>
      <c r="J23" s="22">
        <v>0</v>
      </c>
      <c r="K23" s="23">
        <v>0</v>
      </c>
      <c r="L23" s="21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</row>
    <row r="24" spans="1:28" ht="16.5" customHeight="1">
      <c r="A24" s="65"/>
      <c r="B24" s="65"/>
      <c r="C24" s="57"/>
      <c r="D24" s="95"/>
      <c r="E24" s="57"/>
      <c r="F24" s="95"/>
      <c r="G24" s="40"/>
      <c r="H24" s="23"/>
      <c r="I24" s="23"/>
      <c r="J24" s="28">
        <v>-0.5</v>
      </c>
      <c r="K24" s="23"/>
      <c r="L24" s="21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r="25" spans="1:28" ht="16.5" customHeight="1">
      <c r="A25" s="65"/>
      <c r="B25" s="65"/>
      <c r="C25" s="59" t="s">
        <v>110</v>
      </c>
      <c r="D25" s="58"/>
      <c r="E25" s="57" t="s">
        <v>42</v>
      </c>
      <c r="F25" s="58"/>
      <c r="G25" s="40">
        <v>6</v>
      </c>
      <c r="H25" s="23">
        <v>6</v>
      </c>
      <c r="I25" s="23">
        <v>6</v>
      </c>
      <c r="J25" s="22">
        <v>0</v>
      </c>
      <c r="K25" s="23">
        <v>0</v>
      </c>
      <c r="L25" s="21">
        <v>0</v>
      </c>
      <c r="M25" s="21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</row>
    <row r="26" spans="1:28" ht="16.5" customHeight="1">
      <c r="A26" s="65"/>
      <c r="B26" s="65"/>
      <c r="C26" s="59" t="s">
        <v>111</v>
      </c>
      <c r="D26" s="58"/>
      <c r="E26" s="57" t="s">
        <v>37</v>
      </c>
      <c r="F26" s="58"/>
      <c r="G26" s="40">
        <v>3.5</v>
      </c>
      <c r="H26" s="23">
        <v>4</v>
      </c>
      <c r="I26" s="23">
        <v>4</v>
      </c>
      <c r="J26" s="22">
        <v>0</v>
      </c>
      <c r="K26" s="23">
        <v>0</v>
      </c>
      <c r="L26" s="23">
        <v>0</v>
      </c>
      <c r="M26" s="21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</row>
    <row r="27" spans="1:28" ht="16.5" customHeight="1">
      <c r="A27" s="65"/>
      <c r="B27" s="65"/>
      <c r="C27" s="57"/>
      <c r="D27" s="95"/>
      <c r="E27" s="57"/>
      <c r="F27" s="95"/>
      <c r="G27" s="40"/>
      <c r="H27" s="23"/>
      <c r="I27" s="23"/>
      <c r="J27" s="28">
        <v>-0.5</v>
      </c>
      <c r="K27" s="23"/>
      <c r="L27" s="23"/>
      <c r="M27" s="21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r="28" spans="1:28" ht="16.5" customHeight="1">
      <c r="A28" s="65"/>
      <c r="B28" s="66"/>
      <c r="C28" s="59" t="s">
        <v>112</v>
      </c>
      <c r="D28" s="58"/>
      <c r="E28" s="57" t="s">
        <v>39</v>
      </c>
      <c r="F28" s="58"/>
      <c r="G28" s="40">
        <v>5</v>
      </c>
      <c r="H28" s="23">
        <v>4</v>
      </c>
      <c r="I28" s="23">
        <v>4</v>
      </c>
      <c r="J28" s="22">
        <v>0</v>
      </c>
      <c r="K28" s="23">
        <v>0</v>
      </c>
      <c r="L28" s="23">
        <v>0</v>
      </c>
      <c r="M28" s="21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</row>
    <row r="29" spans="1:28" ht="16.5" customHeight="1">
      <c r="A29" s="65"/>
      <c r="B29" s="33"/>
      <c r="C29" s="57"/>
      <c r="D29" s="95"/>
      <c r="E29" s="57"/>
      <c r="F29" s="95"/>
      <c r="G29" s="40"/>
      <c r="H29" s="23"/>
      <c r="I29" s="23"/>
      <c r="J29" s="31">
        <v>1</v>
      </c>
      <c r="K29" s="23"/>
      <c r="L29" s="23"/>
      <c r="M29" s="21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r="30" spans="1:28" ht="16.5" customHeight="1">
      <c r="A30" s="65"/>
      <c r="B30" s="64" t="s">
        <v>48</v>
      </c>
      <c r="C30" s="59" t="s">
        <v>113</v>
      </c>
      <c r="D30" s="58"/>
      <c r="E30" s="57" t="s">
        <v>30</v>
      </c>
      <c r="F30" s="58"/>
      <c r="G30" s="40">
        <v>5.5</v>
      </c>
      <c r="H30" s="23">
        <v>6</v>
      </c>
      <c r="I30" s="23">
        <v>6</v>
      </c>
      <c r="J30" s="22">
        <v>0</v>
      </c>
      <c r="K30" s="23">
        <v>0</v>
      </c>
      <c r="L30" s="23">
        <v>0</v>
      </c>
      <c r="M30" s="23">
        <v>0</v>
      </c>
      <c r="N30" s="23">
        <v>0</v>
      </c>
      <c r="O30" s="21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</row>
    <row r="31" spans="1:28" ht="16.5" customHeight="1">
      <c r="A31" s="65"/>
      <c r="B31" s="65"/>
      <c r="C31" s="57"/>
      <c r="D31" s="95"/>
      <c r="E31" s="57"/>
      <c r="F31" s="95"/>
      <c r="G31" s="40"/>
      <c r="H31" s="23"/>
      <c r="I31" s="23"/>
      <c r="J31" s="28">
        <v>-0.5</v>
      </c>
      <c r="K31" s="23"/>
      <c r="L31" s="23"/>
      <c r="M31" s="23"/>
      <c r="N31" s="23"/>
      <c r="O31" s="21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 spans="1:28" ht="16.5" customHeight="1">
      <c r="A32" s="65"/>
      <c r="B32" s="65"/>
      <c r="C32" s="59" t="s">
        <v>114</v>
      </c>
      <c r="D32" s="58"/>
      <c r="E32" s="57" t="s">
        <v>37</v>
      </c>
      <c r="F32" s="58"/>
      <c r="G32" s="40">
        <v>6</v>
      </c>
      <c r="H32" s="23">
        <v>6</v>
      </c>
      <c r="I32" s="23">
        <v>6</v>
      </c>
      <c r="J32" s="23">
        <v>6</v>
      </c>
      <c r="K32" s="22">
        <v>0</v>
      </c>
      <c r="L32" s="23">
        <v>0</v>
      </c>
      <c r="M32" s="23">
        <v>0</v>
      </c>
      <c r="N32" s="23">
        <v>0</v>
      </c>
      <c r="O32" s="21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</row>
    <row r="33" spans="1:28" ht="16.5" customHeight="1">
      <c r="A33" s="65"/>
      <c r="B33" s="65"/>
      <c r="C33" s="59" t="s">
        <v>115</v>
      </c>
      <c r="D33" s="58"/>
      <c r="E33" s="57" t="s">
        <v>116</v>
      </c>
      <c r="F33" s="58"/>
      <c r="G33" s="40">
        <v>5</v>
      </c>
      <c r="H33" s="23">
        <v>6</v>
      </c>
      <c r="I33" s="23">
        <v>6</v>
      </c>
      <c r="J33" s="23">
        <v>6</v>
      </c>
      <c r="K33" s="22">
        <v>0</v>
      </c>
      <c r="L33" s="23">
        <v>0</v>
      </c>
      <c r="M33" s="23">
        <v>0</v>
      </c>
      <c r="N33" s="23">
        <v>0</v>
      </c>
      <c r="O33" s="21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</row>
    <row r="34" spans="1:28" ht="16.5" customHeight="1">
      <c r="A34" s="65"/>
      <c r="B34" s="65"/>
      <c r="C34" s="57"/>
      <c r="D34" s="95"/>
      <c r="E34" s="57"/>
      <c r="F34" s="95"/>
      <c r="G34" s="40"/>
      <c r="H34" s="23"/>
      <c r="I34" s="23"/>
      <c r="J34" s="23"/>
      <c r="K34" s="28">
        <v>-1</v>
      </c>
      <c r="L34" s="23"/>
      <c r="M34" s="23"/>
      <c r="N34" s="23"/>
      <c r="O34" s="21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r="35" spans="1:28" ht="16.5" customHeight="1">
      <c r="A35" s="65"/>
      <c r="B35" s="65"/>
      <c r="C35" s="59" t="s">
        <v>117</v>
      </c>
      <c r="D35" s="58"/>
      <c r="E35" s="57" t="s">
        <v>42</v>
      </c>
      <c r="F35" s="58"/>
      <c r="G35" s="40">
        <v>3</v>
      </c>
      <c r="H35" s="23">
        <v>3</v>
      </c>
      <c r="I35" s="23">
        <v>3</v>
      </c>
      <c r="J35" s="23">
        <v>3</v>
      </c>
      <c r="K35" s="22">
        <v>0</v>
      </c>
      <c r="L35" s="23">
        <v>0</v>
      </c>
      <c r="M35" s="23">
        <v>0</v>
      </c>
      <c r="N35" s="23">
        <v>0</v>
      </c>
      <c r="O35" s="23">
        <v>0</v>
      </c>
      <c r="P35" s="21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</row>
    <row r="36" spans="1:28" ht="16.5" customHeight="1">
      <c r="A36" s="65"/>
      <c r="B36" s="66"/>
      <c r="C36" s="59" t="s">
        <v>118</v>
      </c>
      <c r="D36" s="58"/>
      <c r="E36" s="57" t="s">
        <v>39</v>
      </c>
      <c r="F36" s="58"/>
      <c r="G36" s="40">
        <v>2.5</v>
      </c>
      <c r="H36" s="23">
        <v>3</v>
      </c>
      <c r="I36" s="23">
        <v>3</v>
      </c>
      <c r="J36" s="23">
        <v>3</v>
      </c>
      <c r="K36" s="22">
        <v>0</v>
      </c>
      <c r="L36" s="23">
        <v>0</v>
      </c>
      <c r="M36" s="23">
        <v>0</v>
      </c>
      <c r="N36" s="23">
        <v>0</v>
      </c>
      <c r="O36" s="23">
        <v>0</v>
      </c>
      <c r="P36" s="21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</row>
    <row r="37" spans="1:28" ht="16.5" customHeight="1">
      <c r="A37" s="65"/>
      <c r="B37" s="33"/>
      <c r="C37" s="57"/>
      <c r="D37" s="95"/>
      <c r="E37" s="57"/>
      <c r="F37" s="95"/>
      <c r="G37" s="40"/>
      <c r="H37" s="23"/>
      <c r="I37" s="23"/>
      <c r="J37" s="23"/>
      <c r="K37" s="28">
        <v>-0.5</v>
      </c>
      <c r="L37" s="23"/>
      <c r="M37" s="23"/>
      <c r="N37" s="23"/>
      <c r="O37" s="23"/>
      <c r="P37" s="21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 spans="1:28" ht="16.5" customHeight="1">
      <c r="A38" s="65"/>
      <c r="B38" s="64" t="s">
        <v>60</v>
      </c>
      <c r="C38" s="59" t="s">
        <v>119</v>
      </c>
      <c r="D38" s="58"/>
      <c r="E38" s="57" t="s">
        <v>120</v>
      </c>
      <c r="F38" s="58"/>
      <c r="G38" s="40">
        <v>7.5</v>
      </c>
      <c r="H38" s="23">
        <v>6</v>
      </c>
      <c r="I38" s="23">
        <v>6</v>
      </c>
      <c r="J38" s="23">
        <v>6</v>
      </c>
      <c r="K38" s="21">
        <v>6</v>
      </c>
      <c r="L38" s="23">
        <v>6</v>
      </c>
      <c r="M38" s="23">
        <v>6</v>
      </c>
      <c r="N38" s="23">
        <v>6</v>
      </c>
      <c r="O38" s="23">
        <v>6</v>
      </c>
      <c r="P38" s="23">
        <v>6</v>
      </c>
      <c r="Q38" s="22">
        <v>0</v>
      </c>
      <c r="R38" s="21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16.5" customHeight="1">
      <c r="A39" s="65"/>
      <c r="B39" s="65"/>
      <c r="C39" s="57"/>
      <c r="D39" s="95"/>
      <c r="E39" s="57"/>
      <c r="F39" s="95"/>
      <c r="G39" s="40"/>
      <c r="H39" s="23"/>
      <c r="I39" s="23"/>
      <c r="J39" s="23"/>
      <c r="K39" s="21"/>
      <c r="L39" s="23"/>
      <c r="M39" s="23"/>
      <c r="N39" s="23"/>
      <c r="O39" s="23"/>
      <c r="P39" s="23"/>
      <c r="Q39" s="31">
        <v>1.5</v>
      </c>
      <c r="R39" s="21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 spans="1:28" ht="16.5" customHeight="1">
      <c r="A40" s="65"/>
      <c r="B40" s="65"/>
      <c r="C40" s="59" t="s">
        <v>121</v>
      </c>
      <c r="D40" s="58"/>
      <c r="E40" s="57" t="s">
        <v>122</v>
      </c>
      <c r="F40" s="58"/>
      <c r="G40" s="40">
        <v>8</v>
      </c>
      <c r="H40" s="23">
        <v>6</v>
      </c>
      <c r="I40" s="23">
        <v>6</v>
      </c>
      <c r="J40" s="23">
        <v>6</v>
      </c>
      <c r="K40" s="21">
        <v>6</v>
      </c>
      <c r="L40" s="23">
        <v>6</v>
      </c>
      <c r="M40" s="23">
        <v>6</v>
      </c>
      <c r="N40" s="23">
        <v>6</v>
      </c>
      <c r="O40" s="23">
        <v>6</v>
      </c>
      <c r="P40" s="23">
        <v>6</v>
      </c>
      <c r="Q40" s="22">
        <v>0</v>
      </c>
      <c r="R40" s="21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</row>
    <row r="41" spans="1:28" ht="16.5" customHeight="1">
      <c r="A41" s="65"/>
      <c r="B41" s="65"/>
      <c r="C41" s="57"/>
      <c r="D41" s="95"/>
      <c r="E41" s="96"/>
      <c r="F41" s="97"/>
      <c r="G41" s="40"/>
      <c r="H41" s="23"/>
      <c r="I41" s="23"/>
      <c r="J41" s="23"/>
      <c r="K41" s="21"/>
      <c r="L41" s="23"/>
      <c r="M41" s="23"/>
      <c r="N41" s="23"/>
      <c r="O41" s="23"/>
      <c r="P41" s="23"/>
      <c r="Q41" s="31">
        <v>2</v>
      </c>
      <c r="R41" s="21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 spans="1:28" ht="16.5" customHeight="1">
      <c r="A42" s="65"/>
      <c r="B42" s="65"/>
      <c r="C42" s="59" t="s">
        <v>123</v>
      </c>
      <c r="D42" s="58"/>
      <c r="E42" s="57" t="s">
        <v>122</v>
      </c>
      <c r="F42" s="58"/>
      <c r="G42" s="40">
        <v>5</v>
      </c>
      <c r="H42" s="23">
        <v>6</v>
      </c>
      <c r="I42" s="23">
        <v>6</v>
      </c>
      <c r="J42" s="23">
        <v>6</v>
      </c>
      <c r="K42" s="23">
        <v>6</v>
      </c>
      <c r="L42" s="21">
        <v>6</v>
      </c>
      <c r="M42" s="23">
        <v>6</v>
      </c>
      <c r="N42" s="23">
        <v>6</v>
      </c>
      <c r="O42" s="23">
        <v>6</v>
      </c>
      <c r="P42" s="23">
        <v>6</v>
      </c>
      <c r="Q42" s="22">
        <v>0</v>
      </c>
      <c r="R42" s="35">
        <v>0</v>
      </c>
      <c r="S42" s="21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</row>
    <row r="43" spans="1:28" ht="16.5" customHeight="1">
      <c r="A43" s="65"/>
      <c r="B43" s="65"/>
      <c r="C43" s="57"/>
      <c r="D43" s="95"/>
      <c r="E43" s="57"/>
      <c r="F43" s="95"/>
      <c r="G43" s="40"/>
      <c r="H43" s="23"/>
      <c r="I43" s="23"/>
      <c r="J43" s="23"/>
      <c r="K43" s="23"/>
      <c r="L43" s="21"/>
      <c r="M43" s="23"/>
      <c r="N43" s="23"/>
      <c r="O43" s="23"/>
      <c r="P43" s="23"/>
      <c r="Q43" s="28">
        <v>-1</v>
      </c>
      <c r="R43" s="35"/>
      <c r="S43" s="21"/>
      <c r="T43" s="23"/>
      <c r="U43" s="23"/>
      <c r="V43" s="23"/>
      <c r="W43" s="23"/>
      <c r="X43" s="23"/>
      <c r="Y43" s="23"/>
      <c r="Z43" s="23"/>
      <c r="AA43" s="23"/>
      <c r="AB43" s="23"/>
    </row>
    <row r="44" spans="1:28" ht="16.5" customHeight="1">
      <c r="A44" s="65"/>
      <c r="B44" s="65"/>
      <c r="C44" s="59" t="s">
        <v>124</v>
      </c>
      <c r="D44" s="58"/>
      <c r="E44" s="57" t="s">
        <v>125</v>
      </c>
      <c r="F44" s="58"/>
      <c r="G44" s="40">
        <v>4</v>
      </c>
      <c r="H44" s="23">
        <v>4</v>
      </c>
      <c r="I44" s="23">
        <v>4</v>
      </c>
      <c r="J44" s="23">
        <v>4</v>
      </c>
      <c r="K44" s="23">
        <v>4</v>
      </c>
      <c r="L44" s="21">
        <v>4</v>
      </c>
      <c r="M44" s="23">
        <v>4</v>
      </c>
      <c r="N44" s="23">
        <v>4</v>
      </c>
      <c r="O44" s="23">
        <v>4</v>
      </c>
      <c r="P44" s="23">
        <v>4</v>
      </c>
      <c r="Q44" s="22">
        <v>0</v>
      </c>
      <c r="R44" s="23">
        <v>0</v>
      </c>
      <c r="S44" s="21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</row>
    <row r="45" spans="1:28" ht="16.5" customHeight="1">
      <c r="A45" s="65"/>
      <c r="B45" s="66"/>
      <c r="C45" s="59" t="s">
        <v>126</v>
      </c>
      <c r="D45" s="58"/>
      <c r="E45" s="57" t="s">
        <v>127</v>
      </c>
      <c r="F45" s="58"/>
      <c r="G45" s="40">
        <v>6</v>
      </c>
      <c r="H45" s="23">
        <v>4</v>
      </c>
      <c r="I45" s="23">
        <v>4</v>
      </c>
      <c r="J45" s="23">
        <v>4</v>
      </c>
      <c r="K45" s="23">
        <v>4</v>
      </c>
      <c r="L45" s="21">
        <v>4</v>
      </c>
      <c r="M45" s="23">
        <v>4</v>
      </c>
      <c r="N45" s="23">
        <v>4</v>
      </c>
      <c r="O45" s="23">
        <v>4</v>
      </c>
      <c r="P45" s="23">
        <v>4</v>
      </c>
      <c r="Q45" s="22">
        <v>0</v>
      </c>
      <c r="R45" s="23">
        <v>0</v>
      </c>
      <c r="S45" s="21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</row>
    <row r="46" spans="1:28" ht="16.5" customHeight="1">
      <c r="A46" s="65"/>
      <c r="B46" s="25"/>
      <c r="C46" s="57"/>
      <c r="D46" s="95"/>
      <c r="E46" s="57"/>
      <c r="F46" s="95"/>
      <c r="G46" s="40"/>
      <c r="H46" s="23"/>
      <c r="I46" s="23"/>
      <c r="J46" s="23"/>
      <c r="K46" s="23"/>
      <c r="L46" s="21"/>
      <c r="M46" s="23"/>
      <c r="N46" s="23"/>
      <c r="O46" s="23"/>
      <c r="P46" s="23"/>
      <c r="Q46" s="31">
        <v>2</v>
      </c>
      <c r="R46" s="23"/>
      <c r="S46" s="21"/>
      <c r="T46" s="23"/>
      <c r="U46" s="23"/>
      <c r="V46" s="23"/>
      <c r="W46" s="23"/>
      <c r="X46" s="23"/>
      <c r="Y46" s="23"/>
      <c r="Z46" s="23"/>
      <c r="AA46" s="23"/>
      <c r="AB46" s="23"/>
    </row>
    <row r="47" spans="1:28" ht="16.5" customHeight="1">
      <c r="A47" s="65"/>
      <c r="B47" s="64" t="s">
        <v>73</v>
      </c>
      <c r="C47" s="59" t="s">
        <v>128</v>
      </c>
      <c r="D47" s="58"/>
      <c r="E47" s="57" t="s">
        <v>28</v>
      </c>
      <c r="F47" s="58"/>
      <c r="G47" s="40">
        <v>3</v>
      </c>
      <c r="H47" s="23">
        <v>3</v>
      </c>
      <c r="I47" s="23">
        <v>3</v>
      </c>
      <c r="J47" s="23">
        <v>3</v>
      </c>
      <c r="K47" s="23">
        <v>3</v>
      </c>
      <c r="L47" s="23">
        <v>3</v>
      </c>
      <c r="M47" s="21">
        <v>3</v>
      </c>
      <c r="N47" s="23">
        <v>3</v>
      </c>
      <c r="O47" s="23">
        <v>3</v>
      </c>
      <c r="P47" s="23">
        <v>3</v>
      </c>
      <c r="Q47" s="23">
        <v>3</v>
      </c>
      <c r="R47" s="23">
        <v>3</v>
      </c>
      <c r="S47" s="23">
        <v>3</v>
      </c>
      <c r="T47" s="22">
        <v>0</v>
      </c>
      <c r="U47" s="23">
        <v>0</v>
      </c>
      <c r="V47" s="23">
        <v>0</v>
      </c>
      <c r="W47" s="23">
        <v>0</v>
      </c>
      <c r="X47" s="21">
        <v>0</v>
      </c>
      <c r="Y47" s="23">
        <v>0</v>
      </c>
      <c r="Z47" s="23">
        <v>0</v>
      </c>
      <c r="AA47" s="23">
        <v>0</v>
      </c>
      <c r="AB47" s="23">
        <v>0</v>
      </c>
    </row>
    <row r="48" spans="1:28" ht="16.5" customHeight="1">
      <c r="A48" s="65"/>
      <c r="B48" s="65"/>
      <c r="C48" s="59" t="s">
        <v>129</v>
      </c>
      <c r="D48" s="58"/>
      <c r="E48" s="57" t="s">
        <v>130</v>
      </c>
      <c r="F48" s="58"/>
      <c r="G48" s="40">
        <v>3</v>
      </c>
      <c r="H48" s="23">
        <v>3</v>
      </c>
      <c r="I48" s="23">
        <v>3</v>
      </c>
      <c r="J48" s="23">
        <v>3</v>
      </c>
      <c r="K48" s="23">
        <v>3</v>
      </c>
      <c r="L48" s="23">
        <v>3</v>
      </c>
      <c r="M48" s="21">
        <v>3</v>
      </c>
      <c r="N48" s="23">
        <v>3</v>
      </c>
      <c r="O48" s="23">
        <v>3</v>
      </c>
      <c r="P48" s="23">
        <v>3</v>
      </c>
      <c r="Q48" s="23">
        <v>3</v>
      </c>
      <c r="R48" s="23">
        <v>3</v>
      </c>
      <c r="S48" s="23">
        <v>3</v>
      </c>
      <c r="T48" s="22">
        <v>0</v>
      </c>
      <c r="U48" s="23">
        <v>0</v>
      </c>
      <c r="V48" s="23">
        <v>0</v>
      </c>
      <c r="W48" s="23">
        <v>0</v>
      </c>
      <c r="X48" s="21">
        <v>0</v>
      </c>
      <c r="Y48" s="23">
        <v>0</v>
      </c>
      <c r="Z48" s="23">
        <v>0</v>
      </c>
      <c r="AA48" s="23">
        <v>0</v>
      </c>
      <c r="AB48" s="23">
        <v>0</v>
      </c>
    </row>
    <row r="49" spans="1:28" ht="16.5" customHeight="1">
      <c r="A49" s="65"/>
      <c r="B49" s="65"/>
      <c r="C49" s="59" t="s">
        <v>131</v>
      </c>
      <c r="D49" s="58"/>
      <c r="E49" s="57" t="s">
        <v>37</v>
      </c>
      <c r="F49" s="58"/>
      <c r="G49" s="40">
        <v>3</v>
      </c>
      <c r="H49" s="23">
        <v>3</v>
      </c>
      <c r="I49" s="23">
        <v>3</v>
      </c>
      <c r="J49" s="23">
        <v>3</v>
      </c>
      <c r="K49" s="23">
        <v>3</v>
      </c>
      <c r="L49" s="23">
        <v>3</v>
      </c>
      <c r="M49" s="21">
        <v>3</v>
      </c>
      <c r="N49" s="23">
        <v>3</v>
      </c>
      <c r="O49" s="23">
        <v>3</v>
      </c>
      <c r="P49" s="23">
        <v>3</v>
      </c>
      <c r="Q49" s="23">
        <v>3</v>
      </c>
      <c r="R49" s="23">
        <v>3</v>
      </c>
      <c r="S49" s="23">
        <v>3</v>
      </c>
      <c r="T49" s="22">
        <v>0</v>
      </c>
      <c r="U49" s="23">
        <v>0</v>
      </c>
      <c r="V49" s="23">
        <v>0</v>
      </c>
      <c r="W49" s="23">
        <v>0</v>
      </c>
      <c r="X49" s="21">
        <v>0</v>
      </c>
      <c r="Y49" s="23">
        <v>0</v>
      </c>
      <c r="Z49" s="23">
        <v>0</v>
      </c>
      <c r="AA49" s="23">
        <v>0</v>
      </c>
      <c r="AB49" s="23">
        <v>0</v>
      </c>
    </row>
    <row r="50" spans="1:28" ht="16.5" customHeight="1">
      <c r="A50" s="65"/>
      <c r="B50" s="65"/>
      <c r="C50" s="59" t="s">
        <v>132</v>
      </c>
      <c r="D50" s="58"/>
      <c r="E50" s="57" t="s">
        <v>30</v>
      </c>
      <c r="F50" s="58"/>
      <c r="G50" s="40">
        <v>2</v>
      </c>
      <c r="H50" s="23">
        <v>2</v>
      </c>
      <c r="I50" s="23">
        <v>2</v>
      </c>
      <c r="J50" s="23">
        <v>2</v>
      </c>
      <c r="K50" s="23">
        <v>2</v>
      </c>
      <c r="L50" s="23">
        <v>2</v>
      </c>
      <c r="M50" s="21">
        <v>2</v>
      </c>
      <c r="N50" s="23">
        <v>2</v>
      </c>
      <c r="O50" s="23">
        <v>2</v>
      </c>
      <c r="P50" s="23">
        <v>2</v>
      </c>
      <c r="Q50" s="23">
        <v>2</v>
      </c>
      <c r="R50" s="23">
        <v>2</v>
      </c>
      <c r="S50" s="23">
        <v>1</v>
      </c>
      <c r="T50" s="22">
        <v>0</v>
      </c>
      <c r="U50" s="23">
        <v>0</v>
      </c>
      <c r="V50" s="23">
        <v>0</v>
      </c>
      <c r="W50" s="23">
        <v>0</v>
      </c>
      <c r="X50" s="21">
        <v>0</v>
      </c>
      <c r="Y50" s="23">
        <v>0</v>
      </c>
      <c r="Z50" s="23">
        <v>0</v>
      </c>
      <c r="AA50" s="23">
        <v>0</v>
      </c>
      <c r="AB50" s="23">
        <v>0</v>
      </c>
    </row>
    <row r="51" spans="1:28" ht="16.5" customHeight="1">
      <c r="A51" s="65"/>
      <c r="B51" s="65"/>
      <c r="C51" s="59" t="s">
        <v>133</v>
      </c>
      <c r="D51" s="58"/>
      <c r="E51" s="57" t="s">
        <v>39</v>
      </c>
      <c r="F51" s="58"/>
      <c r="G51" s="40">
        <v>2.5</v>
      </c>
      <c r="H51" s="23">
        <v>2</v>
      </c>
      <c r="I51" s="23">
        <v>2</v>
      </c>
      <c r="J51" s="23">
        <v>2</v>
      </c>
      <c r="K51" s="23">
        <v>2</v>
      </c>
      <c r="L51" s="23">
        <v>2</v>
      </c>
      <c r="M51" s="21">
        <v>2</v>
      </c>
      <c r="N51" s="23">
        <v>2</v>
      </c>
      <c r="O51" s="23">
        <v>2</v>
      </c>
      <c r="P51" s="23">
        <v>2</v>
      </c>
      <c r="Q51" s="23">
        <v>2</v>
      </c>
      <c r="R51" s="23">
        <v>2</v>
      </c>
      <c r="S51" s="23">
        <v>2</v>
      </c>
      <c r="T51" s="22">
        <v>0</v>
      </c>
      <c r="U51" s="23">
        <v>0</v>
      </c>
      <c r="V51" s="23">
        <v>0</v>
      </c>
      <c r="W51" s="23">
        <v>0</v>
      </c>
      <c r="X51" s="23">
        <v>0</v>
      </c>
      <c r="Y51" s="21">
        <v>0</v>
      </c>
      <c r="Z51" s="23">
        <v>0</v>
      </c>
      <c r="AA51" s="23">
        <v>0</v>
      </c>
      <c r="AB51" s="23">
        <v>0</v>
      </c>
    </row>
    <row r="52" spans="1:28" ht="16.5" customHeight="1">
      <c r="A52" s="65"/>
      <c r="B52" s="25"/>
      <c r="C52" s="57"/>
      <c r="D52" s="95"/>
      <c r="E52" s="57"/>
      <c r="F52" s="95"/>
      <c r="G52" s="40"/>
      <c r="H52" s="23"/>
      <c r="I52" s="23"/>
      <c r="J52" s="23"/>
      <c r="K52" s="23"/>
      <c r="L52" s="23"/>
      <c r="M52" s="21"/>
      <c r="N52" s="23"/>
      <c r="O52" s="23"/>
      <c r="P52" s="23"/>
      <c r="Q52" s="23"/>
      <c r="R52" s="23"/>
      <c r="S52" s="23"/>
      <c r="T52" s="31">
        <v>0.5</v>
      </c>
      <c r="U52" s="23"/>
      <c r="V52" s="23"/>
      <c r="W52" s="23"/>
      <c r="X52" s="23"/>
      <c r="Y52" s="21"/>
      <c r="Z52" s="23"/>
      <c r="AA52" s="23"/>
      <c r="AB52" s="23"/>
    </row>
    <row r="53" spans="1:28" ht="16.5" customHeight="1">
      <c r="A53" s="65"/>
      <c r="B53" s="64" t="s">
        <v>80</v>
      </c>
      <c r="C53" s="59" t="s">
        <v>134</v>
      </c>
      <c r="D53" s="58"/>
      <c r="E53" s="57" t="s">
        <v>30</v>
      </c>
      <c r="F53" s="58"/>
      <c r="G53" s="40">
        <v>4</v>
      </c>
      <c r="H53" s="23">
        <v>4</v>
      </c>
      <c r="I53" s="23">
        <v>4</v>
      </c>
      <c r="J53" s="23">
        <v>4</v>
      </c>
      <c r="K53" s="23">
        <v>4</v>
      </c>
      <c r="L53" s="23">
        <v>4</v>
      </c>
      <c r="M53" s="23">
        <v>4</v>
      </c>
      <c r="N53" s="21">
        <v>4</v>
      </c>
      <c r="O53" s="23">
        <v>4</v>
      </c>
      <c r="P53" s="23">
        <v>4</v>
      </c>
      <c r="Q53" s="23">
        <v>4</v>
      </c>
      <c r="R53" s="23">
        <v>4</v>
      </c>
      <c r="S53" s="23">
        <v>4</v>
      </c>
      <c r="T53" s="23">
        <v>4</v>
      </c>
      <c r="U53" s="23">
        <v>4</v>
      </c>
      <c r="V53" s="23">
        <v>4</v>
      </c>
      <c r="W53" s="22">
        <v>0</v>
      </c>
      <c r="X53" s="23">
        <v>0</v>
      </c>
      <c r="Y53" s="23">
        <v>0</v>
      </c>
      <c r="Z53" s="21">
        <v>0</v>
      </c>
      <c r="AA53" s="23">
        <v>0</v>
      </c>
      <c r="AB53" s="23">
        <v>0</v>
      </c>
    </row>
    <row r="54" spans="1:28" ht="16.5" customHeight="1">
      <c r="A54" s="65"/>
      <c r="B54" s="65"/>
      <c r="C54" s="59" t="s">
        <v>135</v>
      </c>
      <c r="D54" s="58"/>
      <c r="E54" s="57" t="s">
        <v>127</v>
      </c>
      <c r="F54" s="58"/>
      <c r="G54" s="40">
        <v>3</v>
      </c>
      <c r="H54" s="23">
        <v>3</v>
      </c>
      <c r="I54" s="23">
        <v>3</v>
      </c>
      <c r="J54" s="23">
        <v>3</v>
      </c>
      <c r="K54" s="23">
        <v>3</v>
      </c>
      <c r="L54" s="23">
        <v>3</v>
      </c>
      <c r="M54" s="23">
        <v>3</v>
      </c>
      <c r="N54" s="21">
        <v>3</v>
      </c>
      <c r="O54" s="23">
        <v>3</v>
      </c>
      <c r="P54" s="23">
        <v>3</v>
      </c>
      <c r="Q54" s="23">
        <v>3</v>
      </c>
      <c r="R54" s="23">
        <v>3</v>
      </c>
      <c r="S54" s="23">
        <v>3</v>
      </c>
      <c r="T54" s="23">
        <v>3</v>
      </c>
      <c r="U54" s="23">
        <v>3</v>
      </c>
      <c r="V54" s="23">
        <v>3</v>
      </c>
      <c r="W54" s="22">
        <v>0</v>
      </c>
      <c r="X54" s="23">
        <v>0</v>
      </c>
      <c r="Y54" s="23">
        <v>0</v>
      </c>
      <c r="Z54" s="21">
        <v>0</v>
      </c>
      <c r="AA54" s="23">
        <v>0</v>
      </c>
      <c r="AB54" s="23">
        <v>0</v>
      </c>
    </row>
    <row r="55" spans="1:28" ht="16.5" customHeight="1">
      <c r="A55" s="65"/>
      <c r="B55" s="65"/>
      <c r="C55" s="59" t="s">
        <v>136</v>
      </c>
      <c r="D55" s="58"/>
      <c r="E55" s="57" t="s">
        <v>120</v>
      </c>
      <c r="F55" s="58"/>
      <c r="G55" s="40">
        <v>2</v>
      </c>
      <c r="H55" s="23">
        <v>3</v>
      </c>
      <c r="I55" s="23">
        <v>3</v>
      </c>
      <c r="J55" s="23">
        <v>3</v>
      </c>
      <c r="K55" s="23">
        <v>3</v>
      </c>
      <c r="L55" s="23">
        <v>3</v>
      </c>
      <c r="M55" s="23">
        <v>3</v>
      </c>
      <c r="N55" s="21">
        <v>3</v>
      </c>
      <c r="O55" s="23">
        <v>3</v>
      </c>
      <c r="P55" s="23">
        <v>3</v>
      </c>
      <c r="Q55" s="23">
        <v>3</v>
      </c>
      <c r="R55" s="23">
        <v>3</v>
      </c>
      <c r="S55" s="23">
        <v>3</v>
      </c>
      <c r="T55" s="23">
        <v>3</v>
      </c>
      <c r="U55" s="23">
        <v>3</v>
      </c>
      <c r="V55" s="23">
        <v>3</v>
      </c>
      <c r="W55" s="22">
        <v>0</v>
      </c>
      <c r="X55" s="23">
        <v>0</v>
      </c>
      <c r="Y55" s="23">
        <v>0</v>
      </c>
      <c r="Z55" s="21">
        <v>0</v>
      </c>
      <c r="AA55" s="23">
        <v>0</v>
      </c>
      <c r="AB55" s="23">
        <v>0</v>
      </c>
    </row>
    <row r="56" spans="1:28" ht="16.5" customHeight="1">
      <c r="A56" s="65"/>
      <c r="B56" s="65"/>
      <c r="C56" s="57"/>
      <c r="D56" s="95"/>
      <c r="E56" s="57"/>
      <c r="F56" s="95"/>
      <c r="G56" s="40"/>
      <c r="H56" s="23"/>
      <c r="I56" s="23"/>
      <c r="J56" s="23"/>
      <c r="K56" s="23"/>
      <c r="L56" s="23"/>
      <c r="M56" s="23"/>
      <c r="N56" s="21"/>
      <c r="O56" s="23"/>
      <c r="P56" s="23"/>
      <c r="Q56" s="23"/>
      <c r="R56" s="23"/>
      <c r="S56" s="23"/>
      <c r="T56" s="23"/>
      <c r="U56" s="23"/>
      <c r="V56" s="23"/>
      <c r="W56" s="28">
        <v>-1</v>
      </c>
      <c r="X56" s="23"/>
      <c r="Y56" s="23"/>
      <c r="Z56" s="21"/>
      <c r="AA56" s="23"/>
      <c r="AB56" s="23"/>
    </row>
    <row r="57" spans="1:28" ht="16.5" customHeight="1">
      <c r="A57" s="65"/>
      <c r="B57" s="65"/>
      <c r="C57" s="59" t="s">
        <v>137</v>
      </c>
      <c r="D57" s="58"/>
      <c r="E57" s="57" t="s">
        <v>28</v>
      </c>
      <c r="F57" s="58"/>
      <c r="G57" s="40">
        <v>2</v>
      </c>
      <c r="H57" s="23">
        <v>2</v>
      </c>
      <c r="I57" s="23">
        <v>2</v>
      </c>
      <c r="J57" s="23">
        <v>2</v>
      </c>
      <c r="K57" s="23">
        <v>2</v>
      </c>
      <c r="L57" s="23">
        <v>2</v>
      </c>
      <c r="M57" s="23">
        <v>2</v>
      </c>
      <c r="N57" s="21">
        <v>2</v>
      </c>
      <c r="O57" s="23">
        <v>2</v>
      </c>
      <c r="P57" s="23">
        <v>2</v>
      </c>
      <c r="Q57" s="23">
        <v>2</v>
      </c>
      <c r="R57" s="23">
        <v>2</v>
      </c>
      <c r="S57" s="23">
        <v>2</v>
      </c>
      <c r="T57" s="23">
        <v>2</v>
      </c>
      <c r="U57" s="23">
        <v>2</v>
      </c>
      <c r="V57" s="23">
        <v>1</v>
      </c>
      <c r="W57" s="22">
        <v>0</v>
      </c>
      <c r="X57" s="23">
        <v>0</v>
      </c>
      <c r="Y57" s="23">
        <v>0</v>
      </c>
      <c r="Z57" s="21">
        <v>0</v>
      </c>
      <c r="AA57" s="23">
        <v>0</v>
      </c>
      <c r="AB57" s="23">
        <v>0</v>
      </c>
    </row>
    <row r="58" spans="1:28" ht="16.5" customHeight="1">
      <c r="A58" s="65"/>
      <c r="B58" s="66"/>
      <c r="C58" s="59" t="s">
        <v>138</v>
      </c>
      <c r="D58" s="58"/>
      <c r="E58" s="57" t="s">
        <v>39</v>
      </c>
      <c r="F58" s="58"/>
      <c r="G58" s="40">
        <v>3</v>
      </c>
      <c r="H58" s="23">
        <v>2</v>
      </c>
      <c r="I58" s="23">
        <v>2</v>
      </c>
      <c r="J58" s="23">
        <v>2</v>
      </c>
      <c r="K58" s="23">
        <v>2</v>
      </c>
      <c r="L58" s="23">
        <v>2</v>
      </c>
      <c r="M58" s="23">
        <v>2</v>
      </c>
      <c r="N58" s="21">
        <v>2</v>
      </c>
      <c r="O58" s="23">
        <v>2</v>
      </c>
      <c r="P58" s="23">
        <v>2</v>
      </c>
      <c r="Q58" s="23">
        <v>2</v>
      </c>
      <c r="R58" s="23">
        <v>2</v>
      </c>
      <c r="S58" s="23">
        <v>2</v>
      </c>
      <c r="T58" s="23">
        <v>2</v>
      </c>
      <c r="U58" s="23">
        <v>2</v>
      </c>
      <c r="V58" s="23">
        <v>1</v>
      </c>
      <c r="W58" s="22">
        <v>1</v>
      </c>
      <c r="X58" s="23">
        <v>0</v>
      </c>
      <c r="Y58" s="23">
        <v>0</v>
      </c>
      <c r="Z58" s="23">
        <v>0</v>
      </c>
      <c r="AA58" s="21">
        <v>0</v>
      </c>
      <c r="AB58" s="21">
        <v>0</v>
      </c>
    </row>
    <row r="59" spans="1:28" ht="16.5" customHeight="1">
      <c r="A59" s="65"/>
      <c r="B59" s="33"/>
      <c r="C59" s="57"/>
      <c r="D59" s="95"/>
      <c r="E59" s="57"/>
      <c r="F59" s="95"/>
      <c r="G59" s="23"/>
      <c r="H59" s="23"/>
      <c r="I59" s="23"/>
      <c r="J59" s="23"/>
      <c r="K59" s="23"/>
      <c r="L59" s="23"/>
      <c r="M59" s="23"/>
      <c r="N59" s="23"/>
      <c r="O59" s="21"/>
      <c r="P59" s="23"/>
      <c r="Q59" s="23"/>
      <c r="R59" s="23"/>
      <c r="S59" s="23"/>
      <c r="T59" s="23"/>
      <c r="U59" s="23"/>
      <c r="V59" s="23"/>
      <c r="W59" s="31">
        <v>1</v>
      </c>
      <c r="X59" s="23"/>
      <c r="Y59" s="21"/>
      <c r="Z59" s="23"/>
      <c r="AA59" s="23"/>
      <c r="AB59" s="21"/>
    </row>
    <row r="60" spans="1:28" ht="16.5" customHeight="1">
      <c r="A60" s="65"/>
      <c r="B60" s="64" t="s">
        <v>88</v>
      </c>
      <c r="C60" s="59" t="s">
        <v>139</v>
      </c>
      <c r="D60" s="58"/>
      <c r="E60" s="57" t="s">
        <v>42</v>
      </c>
      <c r="F60" s="58"/>
      <c r="G60" s="23">
        <v>1</v>
      </c>
      <c r="H60" s="23">
        <v>1</v>
      </c>
      <c r="I60" s="23">
        <v>1</v>
      </c>
      <c r="J60" s="23">
        <v>1</v>
      </c>
      <c r="K60" s="23">
        <v>1</v>
      </c>
      <c r="L60" s="23">
        <v>1</v>
      </c>
      <c r="M60" s="23">
        <v>1</v>
      </c>
      <c r="N60" s="23">
        <v>1</v>
      </c>
      <c r="O60" s="21">
        <v>1</v>
      </c>
      <c r="P60" s="23">
        <v>1</v>
      </c>
      <c r="Q60" s="23">
        <v>1</v>
      </c>
      <c r="R60" s="23">
        <v>1</v>
      </c>
      <c r="S60" s="23">
        <v>1</v>
      </c>
      <c r="T60" s="23">
        <v>1</v>
      </c>
      <c r="U60" s="23">
        <v>1</v>
      </c>
      <c r="V60" s="23">
        <v>1</v>
      </c>
      <c r="W60" s="23">
        <v>1</v>
      </c>
      <c r="X60" s="23">
        <v>1</v>
      </c>
      <c r="Y60" s="22">
        <v>0</v>
      </c>
      <c r="Z60" s="23">
        <v>0</v>
      </c>
      <c r="AA60" s="23">
        <v>0</v>
      </c>
      <c r="AB60" s="21">
        <v>0</v>
      </c>
    </row>
    <row r="61" spans="1:28" ht="16.5" customHeight="1">
      <c r="A61" s="65"/>
      <c r="B61" s="65"/>
      <c r="C61" s="59" t="s">
        <v>140</v>
      </c>
      <c r="D61" s="58"/>
      <c r="E61" s="57" t="s">
        <v>141</v>
      </c>
      <c r="F61" s="58"/>
      <c r="G61" s="23">
        <v>2</v>
      </c>
      <c r="H61" s="23">
        <v>2</v>
      </c>
      <c r="I61" s="23">
        <v>2</v>
      </c>
      <c r="J61" s="23">
        <v>2</v>
      </c>
      <c r="K61" s="23">
        <v>2</v>
      </c>
      <c r="L61" s="23">
        <v>2</v>
      </c>
      <c r="M61" s="23">
        <v>2</v>
      </c>
      <c r="N61" s="23">
        <v>2</v>
      </c>
      <c r="O61" s="21">
        <v>2</v>
      </c>
      <c r="P61" s="23">
        <v>2</v>
      </c>
      <c r="Q61" s="23">
        <v>2</v>
      </c>
      <c r="R61" s="23">
        <v>2</v>
      </c>
      <c r="S61" s="23">
        <v>2</v>
      </c>
      <c r="T61" s="23">
        <v>2</v>
      </c>
      <c r="U61" s="23">
        <v>2</v>
      </c>
      <c r="V61" s="23">
        <v>2</v>
      </c>
      <c r="W61" s="23">
        <v>2</v>
      </c>
      <c r="X61" s="23">
        <v>2</v>
      </c>
      <c r="Y61" s="22">
        <v>0</v>
      </c>
      <c r="Z61" s="23">
        <v>0</v>
      </c>
      <c r="AA61" s="23">
        <v>0</v>
      </c>
      <c r="AB61" s="21">
        <v>0</v>
      </c>
    </row>
    <row r="62" spans="1:28" ht="16.5" customHeight="1">
      <c r="A62" s="65"/>
      <c r="B62" s="65"/>
      <c r="C62" s="59" t="s">
        <v>142</v>
      </c>
      <c r="D62" s="58"/>
      <c r="E62" s="57" t="s">
        <v>37</v>
      </c>
      <c r="F62" s="58"/>
      <c r="G62" s="23">
        <v>1</v>
      </c>
      <c r="H62" s="23">
        <v>2</v>
      </c>
      <c r="I62" s="23">
        <v>2</v>
      </c>
      <c r="J62" s="23">
        <v>2</v>
      </c>
      <c r="K62" s="23">
        <v>2</v>
      </c>
      <c r="L62" s="23">
        <v>2</v>
      </c>
      <c r="M62" s="23">
        <v>2</v>
      </c>
      <c r="N62" s="23">
        <v>2</v>
      </c>
      <c r="O62" s="21">
        <v>2</v>
      </c>
      <c r="P62" s="23">
        <v>2</v>
      </c>
      <c r="Q62" s="23">
        <v>2</v>
      </c>
      <c r="R62" s="23">
        <v>2</v>
      </c>
      <c r="S62" s="23">
        <v>2</v>
      </c>
      <c r="T62" s="23">
        <v>2</v>
      </c>
      <c r="U62" s="23">
        <v>2</v>
      </c>
      <c r="V62" s="23">
        <v>2</v>
      </c>
      <c r="W62" s="23">
        <v>2</v>
      </c>
      <c r="X62" s="23">
        <v>2</v>
      </c>
      <c r="Y62" s="22">
        <v>0</v>
      </c>
      <c r="Z62" s="23">
        <v>0</v>
      </c>
      <c r="AA62" s="23">
        <v>0</v>
      </c>
      <c r="AB62" s="21">
        <v>0</v>
      </c>
    </row>
    <row r="63" spans="1:28" ht="16.5" customHeight="1">
      <c r="A63" s="65"/>
      <c r="B63" s="65"/>
      <c r="C63" s="57"/>
      <c r="D63" s="95"/>
      <c r="E63" s="57"/>
      <c r="F63" s="95"/>
      <c r="G63" s="23"/>
      <c r="H63" s="23"/>
      <c r="I63" s="23"/>
      <c r="J63" s="23"/>
      <c r="K63" s="23"/>
      <c r="L63" s="23"/>
      <c r="M63" s="23"/>
      <c r="N63" s="23"/>
      <c r="O63" s="21"/>
      <c r="P63" s="23"/>
      <c r="Q63" s="23"/>
      <c r="R63" s="23"/>
      <c r="S63" s="23"/>
      <c r="T63" s="23"/>
      <c r="U63" s="23"/>
      <c r="V63" s="23"/>
      <c r="W63" s="23"/>
      <c r="X63" s="23"/>
      <c r="Y63" s="28">
        <v>-1</v>
      </c>
      <c r="Z63" s="23"/>
      <c r="AA63" s="23"/>
      <c r="AB63" s="21"/>
    </row>
    <row r="64" spans="1:28" ht="16.5" customHeight="1">
      <c r="A64" s="65"/>
      <c r="B64" s="65"/>
      <c r="C64" s="59" t="s">
        <v>143</v>
      </c>
      <c r="D64" s="58"/>
      <c r="E64" s="57" t="s">
        <v>30</v>
      </c>
      <c r="F64" s="58"/>
      <c r="G64" s="23">
        <v>1</v>
      </c>
      <c r="H64" s="23">
        <v>1</v>
      </c>
      <c r="I64" s="23">
        <v>1</v>
      </c>
      <c r="J64" s="23">
        <v>1</v>
      </c>
      <c r="K64" s="23">
        <v>1</v>
      </c>
      <c r="L64" s="23">
        <v>1</v>
      </c>
      <c r="M64" s="23">
        <v>1</v>
      </c>
      <c r="N64" s="23">
        <v>1</v>
      </c>
      <c r="O64" s="21">
        <v>1</v>
      </c>
      <c r="P64" s="23">
        <v>1</v>
      </c>
      <c r="Q64" s="23">
        <v>1</v>
      </c>
      <c r="R64" s="23">
        <v>1</v>
      </c>
      <c r="S64" s="23">
        <v>1</v>
      </c>
      <c r="T64" s="23">
        <v>1</v>
      </c>
      <c r="U64" s="23">
        <v>1</v>
      </c>
      <c r="V64" s="23">
        <v>1</v>
      </c>
      <c r="W64" s="23">
        <v>1</v>
      </c>
      <c r="X64" s="23">
        <v>1</v>
      </c>
      <c r="Y64" s="22">
        <v>0</v>
      </c>
      <c r="Z64" s="23">
        <v>0</v>
      </c>
      <c r="AA64" s="23">
        <v>0</v>
      </c>
      <c r="AB64" s="21">
        <v>0</v>
      </c>
    </row>
    <row r="65" spans="1:28" ht="16.5" customHeight="1">
      <c r="A65" s="65"/>
      <c r="B65" s="66"/>
      <c r="C65" s="59" t="s">
        <v>144</v>
      </c>
      <c r="D65" s="58"/>
      <c r="E65" s="57" t="s">
        <v>28</v>
      </c>
      <c r="F65" s="58"/>
      <c r="G65" s="23">
        <v>1</v>
      </c>
      <c r="H65" s="23">
        <v>1</v>
      </c>
      <c r="I65" s="23">
        <v>1</v>
      </c>
      <c r="J65" s="23">
        <v>1</v>
      </c>
      <c r="K65" s="23">
        <v>1</v>
      </c>
      <c r="L65" s="23">
        <v>1</v>
      </c>
      <c r="M65" s="23">
        <v>1</v>
      </c>
      <c r="N65" s="23">
        <v>1</v>
      </c>
      <c r="O65" s="21">
        <v>1</v>
      </c>
      <c r="P65" s="23">
        <v>1</v>
      </c>
      <c r="Q65" s="23">
        <v>1</v>
      </c>
      <c r="R65" s="23">
        <v>1</v>
      </c>
      <c r="S65" s="23">
        <v>1</v>
      </c>
      <c r="T65" s="23">
        <v>1</v>
      </c>
      <c r="U65" s="23">
        <v>1</v>
      </c>
      <c r="V65" s="23">
        <v>1</v>
      </c>
      <c r="W65" s="23">
        <v>1</v>
      </c>
      <c r="X65" s="23">
        <v>1</v>
      </c>
      <c r="Y65" s="22">
        <v>0</v>
      </c>
      <c r="Z65" s="23">
        <v>0</v>
      </c>
      <c r="AA65" s="21">
        <v>0</v>
      </c>
      <c r="AB65" s="21">
        <v>0</v>
      </c>
    </row>
    <row r="66" spans="1:28" ht="16.5" customHeight="1">
      <c r="A66" s="65"/>
      <c r="B66" s="64" t="s">
        <v>145</v>
      </c>
      <c r="C66" s="59" t="s">
        <v>146</v>
      </c>
      <c r="D66" s="58"/>
      <c r="E66" s="57" t="s">
        <v>98</v>
      </c>
      <c r="F66" s="58"/>
      <c r="G66" s="23">
        <v>10</v>
      </c>
      <c r="H66" s="23">
        <v>10</v>
      </c>
      <c r="I66" s="23">
        <v>10</v>
      </c>
      <c r="J66" s="23">
        <v>10</v>
      </c>
      <c r="K66" s="23">
        <v>10</v>
      </c>
      <c r="L66" s="23">
        <v>10</v>
      </c>
      <c r="M66" s="23">
        <v>10</v>
      </c>
      <c r="N66" s="23">
        <v>10</v>
      </c>
      <c r="O66" s="23">
        <v>10</v>
      </c>
      <c r="P66" s="23">
        <v>10</v>
      </c>
      <c r="Q66" s="23">
        <v>10</v>
      </c>
      <c r="R66" s="23">
        <v>10</v>
      </c>
      <c r="S66" s="23">
        <v>10</v>
      </c>
      <c r="T66" s="23">
        <v>10</v>
      </c>
      <c r="U66" s="23">
        <v>10</v>
      </c>
      <c r="V66" s="23">
        <v>10</v>
      </c>
      <c r="W66" s="23">
        <v>10</v>
      </c>
      <c r="X66" s="23">
        <v>10</v>
      </c>
      <c r="Y66" s="23">
        <v>10</v>
      </c>
      <c r="Z66" s="22">
        <v>0</v>
      </c>
      <c r="AA66" s="23">
        <v>0</v>
      </c>
      <c r="AB66" s="21">
        <v>0</v>
      </c>
    </row>
    <row r="67" spans="1:28" ht="16.5" customHeight="1">
      <c r="A67" s="65"/>
      <c r="B67" s="66"/>
      <c r="C67" s="98" t="s">
        <v>147</v>
      </c>
      <c r="D67" s="99"/>
      <c r="E67" s="57" t="s">
        <v>98</v>
      </c>
      <c r="F67" s="58"/>
      <c r="G67" s="23">
        <v>10</v>
      </c>
      <c r="H67" s="23">
        <v>10</v>
      </c>
      <c r="I67" s="23">
        <v>10</v>
      </c>
      <c r="J67" s="23">
        <v>10</v>
      </c>
      <c r="K67" s="23">
        <v>10</v>
      </c>
      <c r="L67" s="23">
        <v>10</v>
      </c>
      <c r="M67" s="23">
        <v>10</v>
      </c>
      <c r="N67" s="23">
        <v>10</v>
      </c>
      <c r="O67" s="23">
        <v>10</v>
      </c>
      <c r="P67" s="23">
        <v>10</v>
      </c>
      <c r="Q67" s="23">
        <v>10</v>
      </c>
      <c r="R67" s="23">
        <v>10</v>
      </c>
      <c r="S67" s="23">
        <v>10</v>
      </c>
      <c r="T67" s="23">
        <v>10</v>
      </c>
      <c r="U67" s="23">
        <v>10</v>
      </c>
      <c r="V67" s="23">
        <v>10</v>
      </c>
      <c r="W67" s="23">
        <v>10</v>
      </c>
      <c r="X67" s="23">
        <v>10</v>
      </c>
      <c r="Y67" s="23">
        <v>10</v>
      </c>
      <c r="Z67" s="23">
        <v>10</v>
      </c>
      <c r="AA67" s="41">
        <v>10</v>
      </c>
      <c r="AB67" s="22">
        <v>0</v>
      </c>
    </row>
    <row r="68" spans="1:28" ht="16.5" customHeight="1">
      <c r="A68" s="65"/>
      <c r="B68" s="84" t="s">
        <v>20</v>
      </c>
      <c r="C68" s="78"/>
      <c r="D68" s="79"/>
      <c r="E68" s="83" t="s">
        <v>13</v>
      </c>
      <c r="F68" s="58"/>
      <c r="G68" s="57">
        <f>SUM(G16:G67)</f>
        <v>141.5</v>
      </c>
      <c r="H68" s="58"/>
      <c r="I68" s="23">
        <f>SUM(I16:I67)</f>
        <v>127</v>
      </c>
      <c r="J68" s="23">
        <f>SUM(J16:J67)</f>
        <v>98</v>
      </c>
      <c r="K68" s="23">
        <f t="shared" ref="I68:AB68" si="1">SUM(K16:K67)</f>
        <v>78.5</v>
      </c>
      <c r="L68" s="23">
        <f t="shared" si="1"/>
        <v>80</v>
      </c>
      <c r="M68" s="23">
        <f t="shared" si="1"/>
        <v>80</v>
      </c>
      <c r="N68" s="23">
        <f t="shared" si="1"/>
        <v>80</v>
      </c>
      <c r="O68" s="23">
        <f t="shared" si="1"/>
        <v>80</v>
      </c>
      <c r="P68" s="23">
        <f t="shared" si="1"/>
        <v>80</v>
      </c>
      <c r="Q68" s="23">
        <f t="shared" si="1"/>
        <v>58.5</v>
      </c>
      <c r="R68" s="23">
        <f t="shared" si="1"/>
        <v>54</v>
      </c>
      <c r="S68" s="23">
        <f t="shared" si="1"/>
        <v>53</v>
      </c>
      <c r="T68" s="23">
        <f t="shared" si="1"/>
        <v>41.5</v>
      </c>
      <c r="U68" s="23">
        <f t="shared" si="1"/>
        <v>41</v>
      </c>
      <c r="V68" s="23">
        <f t="shared" si="1"/>
        <v>39</v>
      </c>
      <c r="W68" s="23">
        <f t="shared" si="1"/>
        <v>28</v>
      </c>
      <c r="X68" s="23">
        <f t="shared" si="1"/>
        <v>27</v>
      </c>
      <c r="Y68" s="23">
        <f t="shared" si="1"/>
        <v>19</v>
      </c>
      <c r="Z68" s="23">
        <f t="shared" si="1"/>
        <v>10</v>
      </c>
      <c r="AA68" s="23">
        <f t="shared" si="1"/>
        <v>10</v>
      </c>
      <c r="AB68" s="23">
        <f t="shared" si="1"/>
        <v>0</v>
      </c>
    </row>
    <row r="69" spans="1:28" ht="16.5" customHeight="1">
      <c r="A69" s="66"/>
      <c r="B69" s="80"/>
      <c r="C69" s="81"/>
      <c r="D69" s="82"/>
      <c r="E69" s="83" t="s">
        <v>14</v>
      </c>
      <c r="F69" s="58"/>
      <c r="G69" s="57">
        <f>SUM(H16:H67)</f>
        <v>140</v>
      </c>
      <c r="H69" s="58"/>
      <c r="I69" s="23">
        <f>SUM(I16:I67)-I18</f>
        <v>128</v>
      </c>
      <c r="J69" s="23">
        <f>SUM(J16:J67)-J22-J24-J27-J29-J31</f>
        <v>98</v>
      </c>
      <c r="K69" s="23">
        <f>SUM(K16:K67)-K37-K34</f>
        <v>80</v>
      </c>
      <c r="L69" s="23">
        <f t="shared" ref="L69:Q69" si="2">SUM(L16:L67)</f>
        <v>80</v>
      </c>
      <c r="M69" s="23">
        <f t="shared" si="2"/>
        <v>80</v>
      </c>
      <c r="N69" s="23">
        <f t="shared" si="2"/>
        <v>80</v>
      </c>
      <c r="O69" s="23">
        <f t="shared" si="2"/>
        <v>80</v>
      </c>
      <c r="P69" s="23">
        <f t="shared" si="2"/>
        <v>80</v>
      </c>
      <c r="Q69" s="23">
        <f>SUM(Q16:Q67)-Q46-Q43-Q41-Q39</f>
        <v>54</v>
      </c>
      <c r="R69" s="23">
        <f>SUM(R16:R67)+S44</f>
        <v>54</v>
      </c>
      <c r="S69" s="23">
        <f>SUM(S16:S67)-S44</f>
        <v>53</v>
      </c>
      <c r="T69" s="23">
        <f>SUM(T16:T67)-T52</f>
        <v>41</v>
      </c>
      <c r="U69" s="23">
        <f t="shared" ref="T69:X69" si="3">SUM(U16:U67)</f>
        <v>41</v>
      </c>
      <c r="V69" s="23">
        <f t="shared" si="3"/>
        <v>39</v>
      </c>
      <c r="W69" s="23">
        <f>SUM(W16:W67)-W59-W56</f>
        <v>28</v>
      </c>
      <c r="X69" s="23">
        <f t="shared" si="3"/>
        <v>27</v>
      </c>
      <c r="Y69" s="23">
        <f>SUM(Y16:Y67)-Y63</f>
        <v>20</v>
      </c>
      <c r="Z69" s="23">
        <f>SUM(Z16:Z67)-Z54</f>
        <v>10</v>
      </c>
      <c r="AA69" s="23">
        <f t="shared" ref="AA69:AB69" si="4">SUM(AA16:AA67)</f>
        <v>10</v>
      </c>
      <c r="AB69" s="23">
        <f t="shared" si="4"/>
        <v>0</v>
      </c>
    </row>
    <row r="70" spans="1:28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</sheetData>
  <mergeCells count="125">
    <mergeCell ref="E18:F18"/>
    <mergeCell ref="C18:D18"/>
    <mergeCell ref="E52:F52"/>
    <mergeCell ref="C52:D52"/>
    <mergeCell ref="E46:F46"/>
    <mergeCell ref="C46:D46"/>
    <mergeCell ref="C43:D43"/>
    <mergeCell ref="E43:F43"/>
    <mergeCell ref="E59:F59"/>
    <mergeCell ref="C63:D63"/>
    <mergeCell ref="C59:D59"/>
    <mergeCell ref="C67:D67"/>
    <mergeCell ref="C56:D56"/>
    <mergeCell ref="E56:F56"/>
    <mergeCell ref="E45:F45"/>
    <mergeCell ref="E47:F47"/>
    <mergeCell ref="E33:F33"/>
    <mergeCell ref="E35:F35"/>
    <mergeCell ref="E36:F36"/>
    <mergeCell ref="E38:F38"/>
    <mergeCell ref="E40:F40"/>
    <mergeCell ref="E42:F42"/>
    <mergeCell ref="E44:F44"/>
    <mergeCell ref="E41:F41"/>
    <mergeCell ref="E39:F39"/>
    <mergeCell ref="E37:F37"/>
    <mergeCell ref="E34:F34"/>
    <mergeCell ref="E58:F58"/>
    <mergeCell ref="C44:D44"/>
    <mergeCell ref="C45:D45"/>
    <mergeCell ref="C47:D47"/>
    <mergeCell ref="C48:D48"/>
    <mergeCell ref="E48:F48"/>
    <mergeCell ref="C54:D54"/>
    <mergeCell ref="C55:D55"/>
    <mergeCell ref="C50:D50"/>
    <mergeCell ref="E50:F50"/>
    <mergeCell ref="C51:D51"/>
    <mergeCell ref="E51:F51"/>
    <mergeCell ref="C53:D53"/>
    <mergeCell ref="E53:F53"/>
    <mergeCell ref="E54:F54"/>
    <mergeCell ref="E55:F55"/>
    <mergeCell ref="G68:H68"/>
    <mergeCell ref="G69:H69"/>
    <mergeCell ref="C62:D62"/>
    <mergeCell ref="E62:F62"/>
    <mergeCell ref="C64:D64"/>
    <mergeCell ref="E64:F64"/>
    <mergeCell ref="C65:D65"/>
    <mergeCell ref="E65:F65"/>
    <mergeCell ref="E66:F66"/>
    <mergeCell ref="E67:F67"/>
    <mergeCell ref="C66:D66"/>
    <mergeCell ref="E63:F63"/>
    <mergeCell ref="A1:B1"/>
    <mergeCell ref="A2:B2"/>
    <mergeCell ref="A3:B3"/>
    <mergeCell ref="B6:E6"/>
    <mergeCell ref="B13:C13"/>
    <mergeCell ref="A4:B4"/>
    <mergeCell ref="C15:D15"/>
    <mergeCell ref="E15:F15"/>
    <mergeCell ref="B16:D16"/>
    <mergeCell ref="E16:F16"/>
    <mergeCell ref="B17:D17"/>
    <mergeCell ref="E17:F17"/>
    <mergeCell ref="E19:F19"/>
    <mergeCell ref="E20:F20"/>
    <mergeCell ref="B20:D20"/>
    <mergeCell ref="C21:D21"/>
    <mergeCell ref="E21:F21"/>
    <mergeCell ref="B21:B28"/>
    <mergeCell ref="E27:F27"/>
    <mergeCell ref="C27:D27"/>
    <mergeCell ref="E24:F24"/>
    <mergeCell ref="C24:D24"/>
    <mergeCell ref="E22:F22"/>
    <mergeCell ref="C22:D22"/>
    <mergeCell ref="E23:F23"/>
    <mergeCell ref="C25:D25"/>
    <mergeCell ref="E25:F25"/>
    <mergeCell ref="C26:D26"/>
    <mergeCell ref="E26:F26"/>
    <mergeCell ref="E28:F28"/>
    <mergeCell ref="C30:D30"/>
    <mergeCell ref="E30:F30"/>
    <mergeCell ref="E32:F32"/>
    <mergeCell ref="C32:D32"/>
    <mergeCell ref="E31:F31"/>
    <mergeCell ref="C31:D31"/>
    <mergeCell ref="E29:F29"/>
    <mergeCell ref="C29:D29"/>
    <mergeCell ref="E68:F68"/>
    <mergeCell ref="E69:F69"/>
    <mergeCell ref="B60:B65"/>
    <mergeCell ref="B47:B51"/>
    <mergeCell ref="C33:D33"/>
    <mergeCell ref="C35:D35"/>
    <mergeCell ref="C36:D36"/>
    <mergeCell ref="C38:D38"/>
    <mergeCell ref="C40:D40"/>
    <mergeCell ref="C60:D60"/>
    <mergeCell ref="E60:F60"/>
    <mergeCell ref="C61:D61"/>
    <mergeCell ref="E61:F61"/>
    <mergeCell ref="C49:D49"/>
    <mergeCell ref="E49:F49"/>
    <mergeCell ref="E57:F57"/>
    <mergeCell ref="B30:B36"/>
    <mergeCell ref="B38:B45"/>
    <mergeCell ref="B53:B58"/>
    <mergeCell ref="A16:A69"/>
    <mergeCell ref="C42:D42"/>
    <mergeCell ref="B66:B67"/>
    <mergeCell ref="B68:D69"/>
    <mergeCell ref="C28:D28"/>
    <mergeCell ref="C23:D23"/>
    <mergeCell ref="B19:D19"/>
    <mergeCell ref="C57:D57"/>
    <mergeCell ref="C58:D58"/>
    <mergeCell ref="C41:D41"/>
    <mergeCell ref="C39:D39"/>
    <mergeCell ref="C37:D37"/>
    <mergeCell ref="C34:D34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99"/>
  <sheetViews>
    <sheetView workbookViewId="0">
      <selection activeCell="H9" sqref="H9"/>
    </sheetView>
  </sheetViews>
  <sheetFormatPr defaultColWidth="14.44140625" defaultRowHeight="15" customHeight="1"/>
  <cols>
    <col min="1" max="1" width="8.6640625" customWidth="1"/>
    <col min="2" max="2" width="13.109375" customWidth="1"/>
    <col min="3" max="3" width="10" customWidth="1"/>
    <col min="4" max="4" width="14.33203125" customWidth="1"/>
    <col min="5" max="5" width="10" customWidth="1"/>
    <col min="6" max="6" width="9.109375" bestFit="1" customWidth="1"/>
    <col min="7" max="8" width="10" customWidth="1"/>
    <col min="9" max="9" width="13.6640625" customWidth="1"/>
    <col min="10" max="10" width="14.5546875" customWidth="1"/>
    <col min="11" max="11" width="10" customWidth="1"/>
    <col min="12" max="26" width="8.6640625" customWidth="1"/>
  </cols>
  <sheetData>
    <row r="1" spans="1:11" ht="14.25" customHeight="1">
      <c r="A1" s="88" t="s">
        <v>148</v>
      </c>
      <c r="B1" s="89"/>
      <c r="C1" s="89"/>
      <c r="D1" s="89"/>
      <c r="E1" s="89"/>
      <c r="F1" s="89"/>
      <c r="G1" s="89"/>
      <c r="H1" s="89"/>
      <c r="I1" s="89"/>
      <c r="J1" s="89"/>
      <c r="K1" s="87"/>
    </row>
    <row r="2" spans="1:11" ht="14.25" customHeight="1">
      <c r="A2" s="90"/>
      <c r="B2" s="92" t="s">
        <v>28</v>
      </c>
      <c r="C2" s="58"/>
      <c r="D2" s="92" t="s">
        <v>37</v>
      </c>
      <c r="E2" s="58"/>
      <c r="F2" s="92" t="s">
        <v>30</v>
      </c>
      <c r="G2" s="58"/>
      <c r="H2" s="92" t="s">
        <v>39</v>
      </c>
      <c r="I2" s="58"/>
      <c r="J2" s="92" t="s">
        <v>42</v>
      </c>
      <c r="K2" s="93"/>
    </row>
    <row r="3" spans="1:11" ht="14.25" customHeight="1">
      <c r="A3" s="91"/>
      <c r="B3" s="42" t="s">
        <v>13</v>
      </c>
      <c r="C3" s="42" t="s">
        <v>14</v>
      </c>
      <c r="D3" s="42" t="s">
        <v>13</v>
      </c>
      <c r="E3" s="42" t="s">
        <v>14</v>
      </c>
      <c r="F3" s="42" t="s">
        <v>13</v>
      </c>
      <c r="G3" s="42" t="s">
        <v>14</v>
      </c>
      <c r="H3" s="42" t="s">
        <v>13</v>
      </c>
      <c r="I3" s="42" t="s">
        <v>14</v>
      </c>
      <c r="J3" s="42" t="s">
        <v>13</v>
      </c>
      <c r="K3" s="43" t="s">
        <v>14</v>
      </c>
    </row>
    <row r="4" spans="1:11" ht="14.25" customHeight="1">
      <c r="A4" s="44" t="s">
        <v>3</v>
      </c>
      <c r="B4" s="45">
        <f>'Sprint 1'!$D$8</f>
        <v>44.8</v>
      </c>
      <c r="C4" s="45">
        <f>'Sprint 1'!$E$8</f>
        <v>44</v>
      </c>
      <c r="D4" s="45">
        <f>'Sprint 1'!$D$9</f>
        <v>58.133333333333333</v>
      </c>
      <c r="E4" s="45">
        <f>'Sprint 1'!$E$9</f>
        <v>58.333333333333336</v>
      </c>
      <c r="F4" s="45">
        <f>'Sprint 1'!$D$10</f>
        <v>52.8</v>
      </c>
      <c r="G4" s="45">
        <f>'Sprint 1'!$E$10</f>
        <v>54</v>
      </c>
      <c r="H4" s="45">
        <f>'Sprint 1'!$D$11</f>
        <v>48.133333333333333</v>
      </c>
      <c r="I4" s="45">
        <f>'Sprint 1'!$E$11</f>
        <v>47.333333333333336</v>
      </c>
      <c r="J4" s="45">
        <f>'Sprint 1'!$D$12</f>
        <v>50.133333333333333</v>
      </c>
      <c r="K4" s="45">
        <f>'Sprint 1'!$E$12</f>
        <v>47.333333333333336</v>
      </c>
    </row>
    <row r="5" spans="1:11" ht="14.25" customHeight="1">
      <c r="A5" s="44" t="s">
        <v>101</v>
      </c>
      <c r="B5" s="45">
        <f>'Sprint 2'!$D$11</f>
        <v>33.799999999999997</v>
      </c>
      <c r="C5" s="45">
        <f>'Sprint 2'!$E$8</f>
        <v>35.299999999999997</v>
      </c>
      <c r="D5" s="45">
        <f>'Sprint 2'!$D$9</f>
        <v>29.3</v>
      </c>
      <c r="E5" s="45">
        <f>'Sprint 2'!$E$9</f>
        <v>29.3</v>
      </c>
      <c r="F5" s="45">
        <f>'Sprint 2'!$D$10</f>
        <v>23.8</v>
      </c>
      <c r="G5" s="45">
        <f>'Sprint 2'!$E$10</f>
        <v>23.8</v>
      </c>
      <c r="H5" s="45">
        <f>'Sprint 2'!$D$11</f>
        <v>33.799999999999997</v>
      </c>
      <c r="I5" s="45">
        <f>'Sprint 2'!$E$11</f>
        <v>30.8</v>
      </c>
      <c r="J5" s="45">
        <f>'Sprint 2'!$D$12</f>
        <v>21.05</v>
      </c>
      <c r="K5" s="45">
        <f>'Sprint 2'!$E$12</f>
        <v>20.8</v>
      </c>
    </row>
    <row r="6" spans="1:11" ht="14.25" customHeight="1">
      <c r="A6" s="46" t="s">
        <v>20</v>
      </c>
      <c r="B6" s="47">
        <f>SUM(B4:B5)</f>
        <v>78.599999999999994</v>
      </c>
      <c r="C6" s="47">
        <f>SUM(C4:C5)</f>
        <v>79.3</v>
      </c>
      <c r="D6" s="47">
        <f t="shared" ref="B6:K6" si="0">SUM(D4:D5)</f>
        <v>87.433333333333337</v>
      </c>
      <c r="E6" s="47">
        <f t="shared" si="0"/>
        <v>87.63333333333334</v>
      </c>
      <c r="F6" s="47">
        <f t="shared" si="0"/>
        <v>76.599999999999994</v>
      </c>
      <c r="G6" s="47">
        <f t="shared" si="0"/>
        <v>77.8</v>
      </c>
      <c r="H6" s="47">
        <f t="shared" si="0"/>
        <v>81.933333333333337</v>
      </c>
      <c r="I6" s="47">
        <f t="shared" si="0"/>
        <v>78.13333333333334</v>
      </c>
      <c r="J6" s="47">
        <f t="shared" si="0"/>
        <v>71.183333333333337</v>
      </c>
      <c r="K6" s="47">
        <f t="shared" si="0"/>
        <v>68.13333333333334</v>
      </c>
    </row>
    <row r="7" spans="1:11" ht="14.25" customHeight="1"/>
    <row r="8" spans="1:11" ht="14.25" customHeight="1"/>
    <row r="9" spans="1:11" ht="14.25" customHeight="1">
      <c r="E9" s="86" t="s">
        <v>149</v>
      </c>
      <c r="F9" s="87"/>
    </row>
    <row r="10" spans="1:11" ht="14.25" customHeight="1">
      <c r="E10" s="48" t="s">
        <v>13</v>
      </c>
      <c r="F10" s="49">
        <f>SUMIF($B$3:$K$3,"Thực tế",$B$6:$K$6)</f>
        <v>395.75</v>
      </c>
    </row>
    <row r="11" spans="1:11" ht="14.25" customHeight="1">
      <c r="E11" s="50" t="s">
        <v>14</v>
      </c>
      <c r="F11" s="51">
        <f>SUMIF($B$3:$K$3,"Ước tính",$B$6:$K$6)</f>
        <v>391</v>
      </c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8">
    <mergeCell ref="E9:F9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Tú Nguyễn</cp:lastModifiedBy>
  <dcterms:created xsi:type="dcterms:W3CDTF">2021-04-23T08:05:10Z</dcterms:created>
  <dcterms:modified xsi:type="dcterms:W3CDTF">2025-11-22T06:54:25Z</dcterms:modified>
</cp:coreProperties>
</file>